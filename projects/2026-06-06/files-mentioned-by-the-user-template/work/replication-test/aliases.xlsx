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nsumo_24m" sheetId="2" state="visible" r:id="rId2"/>
    <sheet xmlns:r="http://schemas.openxmlformats.org/officeDocument/2006/relationships" name="Cargas_24" sheetId="3" state="visible" r:id="rId3"/>
    <sheet xmlns:r="http://schemas.openxmlformats.org/officeDocument/2006/relationships" name="Calculos" sheetId="4" state="visible" r:id="rId4"/>
    <sheet xmlns:r="http://schemas.openxmlformats.org/officeDocument/2006/relationships" name="Mapeament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tabSelected="1" workbookViewId="0">
      <selection activeCell="A1" sqref="A1"/>
    </sheetView>
  </sheetViews>
  <sheetFormatPr baseColWidth="8" defaultRowHeight="15"/>
  <cols>
    <col width="32.7109375" bestFit="1" customWidth="1" min="1" max="1"/>
    <col width="11.7109375" bestFit="1" customWidth="1" min="2" max="2"/>
  </cols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CLIENTE_NOME</t>
        </is>
      </c>
    </row>
    <row r="3">
      <c r="A3" t="inlineStr">
        <is>
          <t>CLIENTE_ENDERECO_LOGRADOURO</t>
        </is>
      </c>
    </row>
    <row r="4">
      <c r="A4" t="inlineStr">
        <is>
          <t>CLIENTE_BAIRRO_MUN_UF_CEP</t>
        </is>
      </c>
    </row>
    <row r="5">
      <c r="A5" t="inlineStr">
        <is>
          <t>LOCAL_CIDADE_UF</t>
        </is>
      </c>
    </row>
    <row r="6">
      <c r="A6" t="inlineStr">
        <is>
          <t>MES</t>
        </is>
      </c>
    </row>
    <row r="7">
      <c r="A7" t="inlineStr">
        <is>
          <t>ANO</t>
        </is>
      </c>
    </row>
    <row r="8">
      <c r="A8" t="inlineStr">
        <is>
          <t>UC_CONTA_CONTRATO</t>
        </is>
      </c>
    </row>
    <row r="9">
      <c r="A9" t="inlineStr">
        <is>
          <t>UC_CLASSE</t>
        </is>
      </c>
      <c r="B9" t="inlineStr">
        <is>
          <t>B1</t>
        </is>
      </c>
    </row>
    <row r="10">
      <c r="A10" t="inlineStr">
        <is>
          <t>COORD_SUL</t>
        </is>
      </c>
    </row>
    <row r="11">
      <c r="A11" t="inlineStr">
        <is>
          <t>COORD_OESTE</t>
        </is>
      </c>
    </row>
    <row r="12">
      <c r="A12" t="inlineStr">
        <is>
          <t>FV_POT_KWP</t>
        </is>
      </c>
      <c r="B12" t="inlineStr">
        <is>
          <t>5.85</t>
        </is>
      </c>
    </row>
    <row r="13">
      <c r="A13" t="inlineStr">
        <is>
          <t>MOD_MARCA</t>
        </is>
      </c>
    </row>
    <row r="14">
      <c r="A14" t="inlineStr">
        <is>
          <t>MOD_MODELO</t>
        </is>
      </c>
    </row>
    <row r="15">
      <c r="A15" t="inlineStr">
        <is>
          <t>MOD_QTD</t>
        </is>
      </c>
    </row>
    <row r="16">
      <c r="A16" t="inlineStr">
        <is>
          <t>MOD_WP</t>
        </is>
      </c>
    </row>
    <row r="17">
      <c r="A17" t="inlineStr">
        <is>
          <t>MOD_EFIC</t>
        </is>
      </c>
    </row>
    <row r="18">
      <c r="A18" t="inlineStr">
        <is>
          <t>MOD_VMP</t>
        </is>
      </c>
    </row>
    <row r="19">
      <c r="A19" t="inlineStr">
        <is>
          <t>MOD_IMP</t>
        </is>
      </c>
    </row>
    <row r="20">
      <c r="A20" t="inlineStr">
        <is>
          <t>MOD_VOC</t>
        </is>
      </c>
    </row>
    <row r="21">
      <c r="A21" t="inlineStr">
        <is>
          <t>MOD_ISC</t>
        </is>
      </c>
    </row>
    <row r="22">
      <c r="A22" t="inlineStr">
        <is>
          <t>MOD_VSYS_MAX</t>
        </is>
      </c>
    </row>
    <row r="23">
      <c r="A23" t="inlineStr">
        <is>
          <t>MOD_FUSIVEL_MAX</t>
        </is>
      </c>
    </row>
    <row r="24">
      <c r="A24" t="inlineStr">
        <is>
          <t>INV_MARCA</t>
        </is>
      </c>
    </row>
    <row r="25">
      <c r="A25" t="inlineStr">
        <is>
          <t>INV_MODELO</t>
        </is>
      </c>
    </row>
    <row r="26">
      <c r="A26" t="inlineStr">
        <is>
          <t>INV_QTD</t>
        </is>
      </c>
      <c r="B26" t="n">
        <v>1</v>
      </c>
    </row>
    <row r="27">
      <c r="A27" t="inlineStr">
        <is>
          <t>INV_PN_KW</t>
        </is>
      </c>
    </row>
    <row r="28">
      <c r="A28" t="inlineStr">
        <is>
          <t>INV_PMAXCC_KW</t>
        </is>
      </c>
    </row>
    <row r="29">
      <c r="A29" t="inlineStr">
        <is>
          <t>INV_VCC_MAX</t>
        </is>
      </c>
    </row>
    <row r="30">
      <c r="A30" t="inlineStr">
        <is>
          <t>INV_ICC_MAX</t>
        </is>
      </c>
    </row>
    <row r="31">
      <c r="A31" t="inlineStr">
        <is>
          <t>INV_VMPPT_MAX</t>
        </is>
      </c>
    </row>
    <row r="32">
      <c r="A32" t="inlineStr">
        <is>
          <t>INV_VMPPT_MIN</t>
        </is>
      </c>
    </row>
    <row r="33">
      <c r="A33" t="inlineStr">
        <is>
          <t>INV_VSTART</t>
        </is>
      </c>
    </row>
    <row r="34">
      <c r="A34" t="inlineStr">
        <is>
          <t>INV_STRINGS</t>
        </is>
      </c>
    </row>
    <row r="35">
      <c r="A35" t="inlineStr">
        <is>
          <t>INV_MPPTS</t>
        </is>
      </c>
    </row>
    <row r="36">
      <c r="A36" t="inlineStr">
        <is>
          <t>INV_PCA_KW</t>
        </is>
      </c>
    </row>
    <row r="37">
      <c r="A37" t="inlineStr">
        <is>
          <t>INV_IMAX_CA</t>
        </is>
      </c>
    </row>
    <row r="38">
      <c r="A38" t="inlineStr">
        <is>
          <t>INV_VAC_NOM</t>
        </is>
      </c>
      <c r="B38" t="n">
        <v>220</v>
      </c>
    </row>
    <row r="39">
      <c r="A39" t="inlineStr">
        <is>
          <t>INV_FN</t>
        </is>
      </c>
      <c r="B39" t="n">
        <v>60</v>
      </c>
    </row>
    <row r="40">
      <c r="A40" t="inlineStr">
        <is>
          <t>INV_FP</t>
        </is>
      </c>
    </row>
    <row r="41">
      <c r="A41" t="inlineStr">
        <is>
          <t>INV_CONEXAO</t>
        </is>
      </c>
    </row>
    <row r="42">
      <c r="A42" t="inlineStr">
        <is>
          <t>INV_EFIC_MAX</t>
        </is>
      </c>
    </row>
    <row r="43">
      <c r="A43" t="inlineStr">
        <is>
          <t>DIST_CC_M</t>
        </is>
      </c>
      <c r="B43" t="n">
        <v>10</v>
      </c>
    </row>
    <row r="44">
      <c r="A44" t="inlineStr">
        <is>
          <t>DIST_CA_M</t>
        </is>
      </c>
      <c r="B44" t="n">
        <v>10</v>
      </c>
    </row>
    <row r="45">
      <c r="A45" t="inlineStr">
        <is>
          <t>BITOLA_CC_MM2</t>
        </is>
      </c>
    </row>
    <row r="46">
      <c r="A46" t="inlineStr">
        <is>
          <t>BITOLA_CA_MM2</t>
        </is>
      </c>
    </row>
    <row r="47">
      <c r="A47" t="inlineStr">
        <is>
          <t>PROT_CC</t>
        </is>
      </c>
    </row>
    <row r="48">
      <c r="A48" t="inlineStr">
        <is>
          <t>PROT_CA</t>
        </is>
      </c>
    </row>
    <row r="49">
      <c r="A49" t="inlineStr">
        <is>
          <t>R_CC_OHMKM</t>
        </is>
      </c>
    </row>
    <row r="50">
      <c r="A50" t="inlineStr">
        <is>
          <t>R_CA_OHMKM</t>
        </is>
      </c>
    </row>
    <row r="51">
      <c r="A51" t="inlineStr">
        <is>
          <t>TIPO_LIGACAO</t>
        </is>
      </c>
      <c r="B51" t="inlineStr">
        <is>
          <t>BIFÁSICO</t>
        </is>
      </c>
    </row>
    <row r="52">
      <c r="A52" t="inlineStr">
        <is>
          <t>CONDUTOR_FASE_MM2</t>
        </is>
      </c>
      <c r="B52" t="n">
        <v>10</v>
      </c>
    </row>
    <row r="53">
      <c r="A53" t="inlineStr">
        <is>
          <t>CONDUTOR_NEUTRO_DESC</t>
        </is>
      </c>
      <c r="B53" t="inlineStr">
        <is>
          <t>condutor NEUTRO concêntrico</t>
        </is>
      </c>
    </row>
    <row r="54">
      <c r="A54" t="inlineStr">
        <is>
          <t>CONCESSIONARIA</t>
        </is>
      </c>
      <c r="B54" t="inlineStr">
        <is>
          <t>LIGHT S.A.</t>
        </is>
      </c>
    </row>
    <row r="55">
      <c r="A55" t="inlineStr">
        <is>
          <t>ESTADO</t>
        </is>
      </c>
      <c r="B55" t="inlineStr">
        <is>
          <t>RIO DE JANEIRO</t>
        </is>
      </c>
    </row>
    <row r="56">
      <c r="A56" t="inlineStr">
        <is>
          <t>DISJ_POLOS</t>
        </is>
      </c>
      <c r="B56" t="n">
        <v>2</v>
      </c>
    </row>
    <row r="57">
      <c r="A57" t="inlineStr">
        <is>
          <t>DISJ_CORRENTE_A</t>
        </is>
      </c>
      <c r="B57" t="n">
        <v>40</v>
      </c>
    </row>
    <row r="58">
      <c r="A58" t="inlineStr">
        <is>
          <t>DISJ_TENSAO_V</t>
        </is>
      </c>
      <c r="B58" t="n">
        <v>220</v>
      </c>
    </row>
    <row r="59">
      <c r="A59" t="inlineStr">
        <is>
          <t>MOD_TIPO_CELULA</t>
        </is>
      </c>
    </row>
    <row r="60">
      <c r="A60" t="inlineStr">
        <is>
          <t>MOD_N_CELULAS</t>
        </is>
      </c>
    </row>
    <row r="61">
      <c r="A61" t="inlineStr">
        <is>
          <t>MOD_DIMENSOES</t>
        </is>
      </c>
    </row>
    <row r="62">
      <c r="A62" t="inlineStr">
        <is>
          <t>MOD_PESO_KG</t>
        </is>
      </c>
    </row>
    <row r="63">
      <c r="A63" t="inlineStr">
        <is>
          <t>INV_PCA_MAX_KW</t>
        </is>
      </c>
    </row>
    <row r="64">
      <c r="A64" t="inlineStr">
        <is>
          <t>INV_VCA_MAX</t>
        </is>
      </c>
      <c r="B64" t="inlineStr">
        <is>
          <t>—</t>
        </is>
      </c>
    </row>
    <row r="65">
      <c r="A65" t="inlineStr">
        <is>
          <t>INV_VCA_MIN</t>
        </is>
      </c>
      <c r="B65" t="inlineStr">
        <is>
          <t>—</t>
        </is>
      </c>
    </row>
    <row r="66">
      <c r="A66" t="inlineStr">
        <is>
          <t>INV_THD</t>
        </is>
      </c>
      <c r="B66" t="inlineStr">
        <is>
          <t>≤ 3</t>
        </is>
      </c>
    </row>
    <row r="67">
      <c r="A67" t="inlineStr">
        <is>
          <t>PERDAS_GERACAO</t>
        </is>
      </c>
      <c r="B67" t="n">
        <v>0.1</v>
      </c>
    </row>
    <row r="68">
      <c r="A68" t="inlineStr">
        <is>
          <t>PROT_DISJ_POLOS</t>
        </is>
      </c>
      <c r="B68" t="n">
        <v>4</v>
      </c>
    </row>
    <row r="69">
      <c r="A69" t="inlineStr">
        <is>
          <t>PROT_DISJ_TENSAO_V</t>
        </is>
      </c>
      <c r="B69" t="n">
        <v>1000</v>
      </c>
    </row>
    <row r="70">
      <c r="A70" t="inlineStr">
        <is>
          <t>PROT_DISJ_CORRENTE_A</t>
        </is>
      </c>
      <c r="B70" t="n">
        <v>16</v>
      </c>
    </row>
    <row r="71">
      <c r="A71" t="inlineStr">
        <is>
          <t>PROT_DISJ_FREQ_HZ</t>
        </is>
      </c>
      <c r="B71" t="n">
        <v>60</v>
      </c>
    </row>
    <row r="72">
      <c r="A72" t="inlineStr">
        <is>
          <t>PROT_DISJ_CAP_INT_KA</t>
        </is>
      </c>
      <c r="B72" t="n">
        <v>40</v>
      </c>
    </row>
    <row r="73">
      <c r="A73" t="inlineStr">
        <is>
          <t>PROT_DISJ_CURVA</t>
        </is>
      </c>
      <c r="B73" t="inlineStr">
        <is>
          <t>Classe 2</t>
        </is>
      </c>
    </row>
    <row r="74">
      <c r="A74" t="inlineStr">
        <is>
          <t>DSV_POLOS</t>
        </is>
      </c>
      <c r="B74" t="n">
        <v>4</v>
      </c>
    </row>
    <row r="75">
      <c r="A75" t="inlineStr">
        <is>
          <t>DSV_TENSAO_V</t>
        </is>
      </c>
      <c r="B75" t="n">
        <v>1000</v>
      </c>
    </row>
    <row r="76">
      <c r="A76" t="inlineStr">
        <is>
          <t>DSV_CORRENTE_A</t>
        </is>
      </c>
      <c r="B76" t="n">
        <v>32</v>
      </c>
    </row>
    <row r="77">
      <c r="A77" t="inlineStr">
        <is>
          <t>DSV_FECHAMENTO_CC_A</t>
        </is>
      </c>
      <c r="B77" t="n">
        <v>600</v>
      </c>
    </row>
    <row r="78">
      <c r="A78" t="inlineStr">
        <is>
          <t>DSV_CAP_INT_KA</t>
        </is>
      </c>
      <c r="B78" t="n">
        <v>40</v>
      </c>
    </row>
    <row r="79">
      <c r="A79" t="inlineStr">
        <is>
          <t>DSV_CURVA</t>
        </is>
      </c>
      <c r="B79" t="inlineStr">
        <is>
          <t>Classe 2</t>
        </is>
      </c>
    </row>
    <row r="80">
      <c r="A80" t="inlineStr">
        <is>
          <t>ATERRAMENTO_ESQUEMA</t>
        </is>
      </c>
      <c r="B80" t="inlineStr">
        <is>
          <t>TT</t>
        </is>
      </c>
    </row>
    <row r="81">
      <c r="A81" t="inlineStr">
        <is>
          <t>ATERRAMENTO_RESISTENCIA_OHM</t>
        </is>
      </c>
      <c r="B81" t="n">
        <v>15</v>
      </c>
    </row>
    <row r="82">
      <c r="A82" t="inlineStr">
        <is>
          <t>ATERRAMENTO_HASTES_QTD</t>
        </is>
      </c>
      <c r="B82" t="n">
        <v>1</v>
      </c>
    </row>
    <row r="83">
      <c r="A83" t="inlineStr">
        <is>
          <t>ATERRAMENTO_HASTE_M</t>
        </is>
      </c>
      <c r="B83" t="inlineStr">
        <is>
          <t>2,44</t>
        </is>
      </c>
    </row>
    <row r="84">
      <c r="A84" t="inlineStr">
        <is>
          <t>ATERRAMENTO_HASTE_SECAO</t>
        </is>
      </c>
      <c r="B84" t="inlineStr">
        <is>
          <t>5/8</t>
        </is>
      </c>
    </row>
    <row r="85">
      <c r="A85" t="inlineStr">
        <is>
          <t>ATERRAMENTO_BITOLA_MM2</t>
        </is>
      </c>
      <c r="B85" t="n">
        <v>6</v>
      </c>
    </row>
    <row r="86">
      <c r="A86" t="inlineStr">
        <is>
          <t>CABO_ISOLACAO</t>
        </is>
      </c>
      <c r="B86" t="inlineStr">
        <is>
          <t>XLPE</t>
        </is>
      </c>
    </row>
    <row r="87">
      <c r="A87" t="inlineStr">
        <is>
          <t>CABO_ISOLAMENTO_KV</t>
        </is>
      </c>
      <c r="B87" t="inlineStr">
        <is>
          <t>0,6/1</t>
        </is>
      </c>
    </row>
    <row r="88">
      <c r="A88" t="inlineStr">
        <is>
          <t>CABO_BITOLA_MM2</t>
        </is>
      </c>
      <c r="B88" t="n">
        <v>6</v>
      </c>
    </row>
    <row r="89">
      <c r="A89" t="inlineStr">
        <is>
          <t>CABO_CAPACIDADE_A</t>
        </is>
      </c>
      <c r="B89" t="n">
        <v>53</v>
      </c>
    </row>
    <row r="90">
      <c r="A90" t="inlineStr">
        <is>
          <t>CABO_METODO_INSTALACAO</t>
        </is>
      </c>
      <c r="B90" t="inlineStr">
        <is>
          <t>B1 (eletroduto aparente e cabos unipolares)</t>
        </is>
      </c>
    </row>
    <row r="91">
      <c r="A91" t="inlineStr">
        <is>
          <t>FATOR_TEMPERATURA</t>
        </is>
      </c>
      <c r="B91" t="inlineStr">
        <is>
          <t>0,71</t>
        </is>
      </c>
    </row>
    <row r="92">
      <c r="A92" t="inlineStr">
        <is>
          <t>FATOR_AGRUPAMENTO</t>
        </is>
      </c>
      <c r="B92" t="inlineStr">
        <is>
          <t>0,57</t>
        </is>
      </c>
    </row>
    <row r="93">
      <c r="A93" t="inlineStr">
        <is>
          <t>TEMPERATURA_AMBIENTE_C</t>
        </is>
      </c>
      <c r="B93" t="n">
        <v>50</v>
      </c>
    </row>
    <row r="94">
      <c r="A94" t="inlineStr">
        <is>
          <t>CLIENTE_CPF</t>
        </is>
      </c>
    </row>
    <row r="95">
      <c r="A95" t="inlineStr">
        <is>
          <t>UC_CODIGO_CLIENTE</t>
        </is>
      </c>
    </row>
    <row r="96">
      <c r="A96" t="inlineStr">
        <is>
          <t>SOLICITANTE_NOME</t>
        </is>
      </c>
    </row>
    <row r="97">
      <c r="A97" t="inlineStr">
        <is>
          <t>CARGA_INSTALADA_KW</t>
        </is>
      </c>
    </row>
    <row r="98">
      <c r="A98" t="inlineStr">
        <is>
          <t>TITULAR_NOME</t>
        </is>
      </c>
      <c r="B98" t="inlineStr">
        <is>
          <t>JOANA REPLICADA</t>
        </is>
      </c>
    </row>
    <row r="99">
      <c r="A99" t="inlineStr">
        <is>
          <t>CPF_CNPJ</t>
        </is>
      </c>
      <c r="B99" t="inlineStr">
        <is>
          <t>111.222.333-44</t>
        </is>
      </c>
    </row>
    <row r="100">
      <c r="A100" t="inlineStr">
        <is>
          <t>UC_ENDERECO</t>
        </is>
      </c>
      <c r="B100" t="inlineStr">
        <is>
          <t>Rua Replicada, 50</t>
        </is>
      </c>
    </row>
    <row r="101">
      <c r="A101" t="inlineStr">
        <is>
          <t>UC_LOCALIDADE</t>
        </is>
      </c>
      <c r="B101" t="inlineStr">
        <is>
          <t>Centro, Niterói - RJ, 24000-000</t>
        </is>
      </c>
    </row>
    <row r="102">
      <c r="A102" t="inlineStr">
        <is>
          <t>NUMERO_INSTALACAO</t>
        </is>
      </c>
      <c r="B102" t="inlineStr">
        <is>
          <t>123456</t>
        </is>
      </c>
    </row>
    <row r="103">
      <c r="A103" t="inlineStr">
        <is>
          <t>CODIGO_CLIENTE</t>
        </is>
      </c>
      <c r="B103" t="inlineStr">
        <is>
          <t>654321</t>
        </is>
      </c>
    </row>
    <row r="104">
      <c r="A104" t="inlineStr">
        <is>
          <t>LATITUDE</t>
        </is>
      </c>
      <c r="B104" t="inlineStr">
        <is>
          <t>-22.90</t>
        </is>
      </c>
    </row>
    <row r="105">
      <c r="A105" t="inlineStr">
        <is>
          <t>LONGITUDE</t>
        </is>
      </c>
      <c r="B105" t="inlineStr">
        <is>
          <t>-43.10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CONSUMO_KWH</t>
        </is>
      </c>
    </row>
    <row r="2">
      <c r="A2" t="inlineStr">
        <is>
          <t>MÊS 1</t>
        </is>
      </c>
    </row>
    <row r="3">
      <c r="A3" t="inlineStr">
        <is>
          <t>MÊS 2</t>
        </is>
      </c>
    </row>
    <row r="4">
      <c r="A4" t="inlineStr">
        <is>
          <t>MÊS 3</t>
        </is>
      </c>
    </row>
    <row r="5">
      <c r="A5" t="inlineStr">
        <is>
          <t>MÊS 4</t>
        </is>
      </c>
    </row>
    <row r="6">
      <c r="A6" t="inlineStr">
        <is>
          <t>MÊS 5</t>
        </is>
      </c>
    </row>
    <row r="7">
      <c r="A7" t="inlineStr">
        <is>
          <t>MÊS 6</t>
        </is>
      </c>
    </row>
    <row r="8">
      <c r="A8" t="inlineStr">
        <is>
          <t>MÊS 7</t>
        </is>
      </c>
    </row>
    <row r="9">
      <c r="A9" t="inlineStr">
        <is>
          <t>MÊS 8</t>
        </is>
      </c>
    </row>
    <row r="10">
      <c r="A10" t="inlineStr">
        <is>
          <t>MÊS 9</t>
        </is>
      </c>
    </row>
    <row r="11">
      <c r="A11" t="inlineStr">
        <is>
          <t>MÊS 10</t>
        </is>
      </c>
    </row>
    <row r="12">
      <c r="A12" t="inlineStr">
        <is>
          <t>MÊS 11</t>
        </is>
      </c>
    </row>
    <row r="13">
      <c r="A13" t="inlineStr">
        <is>
          <t>MÊS 12</t>
        </is>
      </c>
    </row>
    <row r="14">
      <c r="A14" t="inlineStr">
        <is>
          <t>MÊS 13</t>
        </is>
      </c>
    </row>
    <row r="15">
      <c r="A15" t="inlineStr">
        <is>
          <t>MÊS 14</t>
        </is>
      </c>
    </row>
    <row r="16">
      <c r="A16" t="inlineStr">
        <is>
          <t>MÊS 15</t>
        </is>
      </c>
    </row>
    <row r="17">
      <c r="A17" t="inlineStr">
        <is>
          <t>MÊS 16</t>
        </is>
      </c>
    </row>
    <row r="18">
      <c r="A18" t="inlineStr">
        <is>
          <t>MÊS 17</t>
        </is>
      </c>
    </row>
    <row r="19">
      <c r="A19" t="inlineStr">
        <is>
          <t>MÊS 18</t>
        </is>
      </c>
    </row>
    <row r="20">
      <c r="A20" t="inlineStr">
        <is>
          <t>MÊS 19</t>
        </is>
      </c>
    </row>
    <row r="21">
      <c r="A21" t="inlineStr">
        <is>
          <t>MÊS 20</t>
        </is>
      </c>
    </row>
    <row r="22">
      <c r="A22" t="inlineStr">
        <is>
          <t>MÊS 21</t>
        </is>
      </c>
    </row>
    <row r="23">
      <c r="A23" t="inlineStr">
        <is>
          <t>MÊS 22</t>
        </is>
      </c>
    </row>
    <row r="24">
      <c r="A24" t="inlineStr">
        <is>
          <t>MÊS 23</t>
        </is>
      </c>
    </row>
    <row r="25">
      <c r="A25" t="inlineStr">
        <is>
          <t>MÊS 24</t>
        </is>
      </c>
    </row>
    <row r="26">
      <c r="A26" t="inlineStr">
        <is>
          <t>TOTAL</t>
        </is>
      </c>
      <c r="B26">
        <f>SUM(B2:B25)</f>
        <v/>
      </c>
    </row>
    <row r="27">
      <c r="A27" t="inlineStr">
        <is>
          <t>MÉDIA</t>
        </is>
      </c>
      <c r="B27">
        <f>AVERAGE(B2:B25)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DESCRICAO</t>
        </is>
      </c>
      <c r="C1" t="inlineStr">
        <is>
          <t>P_W</t>
        </is>
      </c>
      <c r="D1" t="inlineStr">
        <is>
          <t>QTD</t>
        </is>
      </c>
      <c r="E1" t="inlineStr">
        <is>
          <t>FP</t>
        </is>
      </c>
      <c r="F1" t="inlineStr">
        <is>
          <t>CI_KW</t>
        </is>
      </c>
      <c r="G1" t="inlineStr">
        <is>
          <t>CI_KVA</t>
        </is>
      </c>
    </row>
    <row r="2">
      <c r="A2" t="n">
        <v>1</v>
      </c>
      <c r="F2">
        <f>IF(OR(C2="",D2=""),"",C2*D2/1000)</f>
        <v/>
      </c>
      <c r="G2">
        <f>IF(OR(F2="",E2=""),"",F2/E2)</f>
        <v/>
      </c>
    </row>
    <row r="3">
      <c r="A3" t="n">
        <v>2</v>
      </c>
      <c r="F3">
        <f>IF(OR(C3="",D3=""),"",C3*D3/1000)</f>
        <v/>
      </c>
      <c r="G3">
        <f>IF(OR(F3="",E3=""),"",F3/E3)</f>
        <v/>
      </c>
    </row>
    <row r="4">
      <c r="A4" t="n">
        <v>3</v>
      </c>
      <c r="F4">
        <f>IF(OR(C4="",D4=""),"",C4*D4/1000)</f>
        <v/>
      </c>
      <c r="G4">
        <f>IF(OR(F4="",E4=""),"",F4/E4)</f>
        <v/>
      </c>
    </row>
    <row r="5">
      <c r="A5" t="n">
        <v>4</v>
      </c>
      <c r="F5">
        <f>IF(OR(C5="",D5=""),"",C5*D5/1000)</f>
        <v/>
      </c>
      <c r="G5">
        <f>IF(OR(F5="",E5=""),"",F5/E5)</f>
        <v/>
      </c>
    </row>
    <row r="6">
      <c r="A6" t="n">
        <v>5</v>
      </c>
      <c r="F6">
        <f>IF(OR(C6="",D6=""),"",C6*D6/1000)</f>
        <v/>
      </c>
      <c r="G6">
        <f>IF(OR(F6="",E6=""),"",F6/E6)</f>
        <v/>
      </c>
    </row>
    <row r="7">
      <c r="A7" t="n">
        <v>6</v>
      </c>
      <c r="F7">
        <f>IF(OR(C7="",D7=""),"",C7*D7/1000)</f>
        <v/>
      </c>
      <c r="G7">
        <f>IF(OR(F7="",E7=""),"",F7/E7)</f>
        <v/>
      </c>
    </row>
    <row r="8">
      <c r="A8" t="n">
        <v>7</v>
      </c>
      <c r="F8">
        <f>IF(OR(C8="",D8=""),"",C8*D8/1000)</f>
        <v/>
      </c>
      <c r="G8">
        <f>IF(OR(F8="",E8=""),"",F8/E8)</f>
        <v/>
      </c>
    </row>
    <row r="9">
      <c r="A9" t="n">
        <v>8</v>
      </c>
      <c r="F9">
        <f>IF(OR(C9="",D9=""),"",C9*D9/1000)</f>
        <v/>
      </c>
      <c r="G9">
        <f>IF(OR(F9="",E9=""),"",F9/E9)</f>
        <v/>
      </c>
    </row>
    <row r="10">
      <c r="A10" t="n">
        <v>9</v>
      </c>
      <c r="F10">
        <f>IF(OR(C10="",D10=""),"",C10*D10/1000)</f>
        <v/>
      </c>
      <c r="G10">
        <f>IF(OR(F10="",E10=""),"",F10/E10)</f>
        <v/>
      </c>
    </row>
    <row r="11">
      <c r="A11" t="n">
        <v>10</v>
      </c>
      <c r="F11">
        <f>IF(OR(C11="",D11=""),"",C11*D11/1000)</f>
        <v/>
      </c>
      <c r="G11">
        <f>IF(OR(F11="",E11=""),"",F11/E11)</f>
        <v/>
      </c>
    </row>
    <row r="12">
      <c r="A12" t="n">
        <v>11</v>
      </c>
      <c r="F12">
        <f>IF(OR(C12="",D12=""),"",C12*D12/1000)</f>
        <v/>
      </c>
      <c r="G12">
        <f>IF(OR(F12="",E12=""),"",F12/E12)</f>
        <v/>
      </c>
    </row>
    <row r="13">
      <c r="A13" t="n">
        <v>12</v>
      </c>
      <c r="F13">
        <f>IF(OR(C13="",D13=""),"",C13*D13/1000)</f>
        <v/>
      </c>
      <c r="G13">
        <f>IF(OR(F13="",E13=""),"",F13/E13)</f>
        <v/>
      </c>
    </row>
    <row r="14">
      <c r="A14" t="n">
        <v>13</v>
      </c>
      <c r="F14">
        <f>IF(OR(C14="",D14=""),"",C14*D14/1000)</f>
        <v/>
      </c>
      <c r="G14">
        <f>IF(OR(F14="",E14=""),"",F14/E14)</f>
        <v/>
      </c>
    </row>
    <row r="15">
      <c r="A15" t="n">
        <v>14</v>
      </c>
      <c r="F15">
        <f>IF(OR(C15="",D15=""),"",C15*D15/1000)</f>
        <v/>
      </c>
      <c r="G15">
        <f>IF(OR(F15="",E15=""),"",F15/E15)</f>
        <v/>
      </c>
    </row>
    <row r="16">
      <c r="A16" t="n">
        <v>15</v>
      </c>
      <c r="F16">
        <f>IF(OR(C16="",D16=""),"",C16*D16/1000)</f>
        <v/>
      </c>
      <c r="G16">
        <f>IF(OR(F16="",E16=""),"",F16/E16)</f>
        <v/>
      </c>
    </row>
    <row r="17">
      <c r="A17" t="n">
        <v>16</v>
      </c>
      <c r="F17">
        <f>IF(OR(C17="",D17=""),"",C17*D17/1000)</f>
        <v/>
      </c>
      <c r="G17">
        <f>IF(OR(F17="",E17=""),"",F17/E17)</f>
        <v/>
      </c>
    </row>
    <row r="18">
      <c r="A18" t="n">
        <v>17</v>
      </c>
      <c r="F18">
        <f>IF(OR(C18="",D18=""),"",C18*D18/1000)</f>
        <v/>
      </c>
      <c r="G18">
        <f>IF(OR(F18="",E18=""),"",F18/E18)</f>
        <v/>
      </c>
    </row>
    <row r="19">
      <c r="A19" t="n">
        <v>18</v>
      </c>
      <c r="F19">
        <f>IF(OR(C19="",D19=""),"",C19*D19/1000)</f>
        <v/>
      </c>
      <c r="G19">
        <f>IF(OR(F19="",E19=""),"",F19/E19)</f>
        <v/>
      </c>
    </row>
    <row r="20">
      <c r="A20" t="n">
        <v>19</v>
      </c>
      <c r="F20">
        <f>IF(OR(C20="",D20=""),"",C20*D20/1000)</f>
        <v/>
      </c>
      <c r="G20">
        <f>IF(OR(F20="",E20=""),"",F20/E20)</f>
        <v/>
      </c>
    </row>
    <row r="21">
      <c r="A21" t="n">
        <v>20</v>
      </c>
      <c r="F21">
        <f>IF(OR(C21="",D21=""),"",C21*D21/1000)</f>
        <v/>
      </c>
      <c r="G21">
        <f>IF(OR(F21="",E21=""),"",F21/E21)</f>
        <v/>
      </c>
    </row>
    <row r="22">
      <c r="A22" t="n">
        <v>21</v>
      </c>
      <c r="F22">
        <f>IF(OR(C22="",D22=""),"",C22*D22/1000)</f>
        <v/>
      </c>
      <c r="G22">
        <f>IF(OR(F22="",E22=""),"",F22/E22)</f>
        <v/>
      </c>
    </row>
    <row r="23">
      <c r="A23" t="n">
        <v>22</v>
      </c>
      <c r="F23">
        <f>IF(OR(C23="",D23=""),"",C23*D23/1000)</f>
        <v/>
      </c>
      <c r="G23">
        <f>IF(OR(F23="",E23=""),"",F23/E23)</f>
        <v/>
      </c>
    </row>
    <row r="24">
      <c r="A24" t="n">
        <v>23</v>
      </c>
      <c r="F24">
        <f>IF(OR(C24="",D24=""),"",C24*D24/1000)</f>
        <v/>
      </c>
      <c r="G24">
        <f>IF(OR(F24="",E24=""),"",F24/E24)</f>
        <v/>
      </c>
    </row>
    <row r="25">
      <c r="A25" t="n">
        <v>24</v>
      </c>
      <c r="F25">
        <f>IF(OR(C25="",D25=""),"",C25*D25/1000)</f>
        <v/>
      </c>
      <c r="G25">
        <f>IF(OR(F25="",E25=""),"",F25/E25)</f>
        <v/>
      </c>
    </row>
    <row r="26">
      <c r="A26" t="inlineStr">
        <is>
          <t>TOTAL</t>
        </is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.42578125" bestFit="1" customWidth="1" min="1" max="1"/>
  </cols>
  <sheetData>
    <row r="1">
      <c r="A1" t="inlineStr">
        <is>
          <t>VAR</t>
        </is>
      </c>
      <c r="B1" t="inlineStr">
        <is>
          <t>VALOR</t>
        </is>
      </c>
    </row>
    <row r="2">
      <c r="A2" t="inlineStr">
        <is>
          <t>FV_POT_STC_KWP</t>
        </is>
      </c>
      <c r="B2">
        <f>Inputs!B15*Inputs!B16/1000</f>
        <v/>
      </c>
    </row>
    <row r="3">
      <c r="A3" t="inlineStr">
        <is>
          <t>FV_POT_VI_W</t>
        </is>
      </c>
      <c r="B3">
        <f>Inputs!B18*Inputs!B19*Inputs!B15</f>
        <v/>
      </c>
    </row>
    <row r="4">
      <c r="A4" t="inlineStr">
        <is>
          <t>VCC_NOM</t>
        </is>
      </c>
      <c r="B4">
        <f>Inputs!B18*Inputs!B15</f>
        <v/>
      </c>
    </row>
    <row r="5">
      <c r="A5" t="inlineStr">
        <is>
          <t>ICC_MAX</t>
        </is>
      </c>
      <c r="B5">
        <f>Inputs!B19</f>
        <v/>
      </c>
    </row>
    <row r="6">
      <c r="A6" t="inlineStr">
        <is>
          <t>IAC_MAX</t>
        </is>
      </c>
      <c r="B6">
        <f>Inputs!B36*1000/Inputs!B38</f>
        <v/>
      </c>
    </row>
    <row r="7">
      <c r="A7" t="inlineStr">
        <is>
          <t>DV_CC_V</t>
        </is>
      </c>
      <c r="B7">
        <f>Inputs!B19*Inputs!B49*(2*Inputs!B43/1000)</f>
        <v/>
      </c>
    </row>
    <row r="8">
      <c r="A8" t="inlineStr">
        <is>
          <t>DV_CC_PERC</t>
        </is>
      </c>
      <c r="B8">
        <f>IF(B4=0,"",B7/B4)</f>
        <v/>
      </c>
    </row>
    <row r="9">
      <c r="A9" t="inlineStr">
        <is>
          <t>DV_CA_V</t>
        </is>
      </c>
      <c r="B9">
        <f>B6*Inputs!B50*(2*Inputs!B44/1000)</f>
        <v/>
      </c>
    </row>
    <row r="10">
      <c r="A10" t="inlineStr">
        <is>
          <t>DV_CA_PERC</t>
        </is>
      </c>
      <c r="B10">
        <f>IF(Inputs!B38=0,"",B9/Inputs!B38)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cols>
    <col width="35.7109375" bestFit="1" customWidth="1" min="1" max="1"/>
    <col width="18.140625" bestFit="1" customWidth="1" min="2" max="2"/>
  </cols>
  <sheetData>
    <row r="1">
      <c r="A1" t="inlineStr">
        <is>
          <t>PLACEHOLDER</t>
        </is>
      </c>
      <c r="B1" t="inlineStr">
        <is>
          <t>ORIGEM</t>
        </is>
      </c>
    </row>
    <row r="2">
      <c r="A2" t="inlineStr">
        <is>
          <t>{{CLIENTE_NOME}}</t>
        </is>
      </c>
      <c r="B2" t="inlineStr">
        <is>
          <t>Inputs!B2</t>
        </is>
      </c>
    </row>
    <row r="3">
      <c r="A3" t="inlineStr">
        <is>
          <t>{{CLIENTE_ENDERECO_LOGRADOURO}}</t>
        </is>
      </c>
      <c r="B3" t="inlineStr">
        <is>
          <t>Inputs!B3</t>
        </is>
      </c>
    </row>
    <row r="4">
      <c r="A4" t="inlineStr">
        <is>
          <t>{{CLIENTE_BAIRRO_MUN_UF_CEP}}</t>
        </is>
      </c>
      <c r="B4" t="inlineStr">
        <is>
          <t>Inputs!B4</t>
        </is>
      </c>
    </row>
    <row r="5">
      <c r="A5" t="inlineStr">
        <is>
          <t>{{LOCAL_CIDADE_UF}}</t>
        </is>
      </c>
      <c r="B5" t="inlineStr">
        <is>
          <t>Inputs!B5</t>
        </is>
      </c>
    </row>
    <row r="6">
      <c r="A6" t="inlineStr">
        <is>
          <t>{{MES}}</t>
        </is>
      </c>
      <c r="B6" t="inlineStr">
        <is>
          <t>Inputs!B6</t>
        </is>
      </c>
    </row>
    <row r="7">
      <c r="A7" t="inlineStr">
        <is>
          <t>{{ANO}}</t>
        </is>
      </c>
      <c r="B7" t="inlineStr">
        <is>
          <t>Inputs!B7</t>
        </is>
      </c>
    </row>
    <row r="8">
      <c r="A8" t="inlineStr">
        <is>
          <t>{{UC_CONTA_CONTRATO}}</t>
        </is>
      </c>
      <c r="B8" t="inlineStr">
        <is>
          <t>Inputs!B8</t>
        </is>
      </c>
    </row>
    <row r="9">
      <c r="A9" t="inlineStr">
        <is>
          <t>{{UC_CLASSE}}</t>
        </is>
      </c>
      <c r="B9" t="inlineStr">
        <is>
          <t>Inputs!B9</t>
        </is>
      </c>
    </row>
    <row r="10">
      <c r="A10" t="inlineStr">
        <is>
          <t>{{COORD_SUL}}</t>
        </is>
      </c>
      <c r="B10" t="inlineStr">
        <is>
          <t>Inputs!B10</t>
        </is>
      </c>
    </row>
    <row r="11">
      <c r="A11" t="inlineStr">
        <is>
          <t>{{COORD_OESTE}}</t>
        </is>
      </c>
      <c r="B11" t="inlineStr">
        <is>
          <t>Inputs!B11</t>
        </is>
      </c>
    </row>
    <row r="12">
      <c r="A12" t="inlineStr">
        <is>
          <t>{{FV_POT_KWP}}</t>
        </is>
      </c>
      <c r="B12" t="inlineStr">
        <is>
          <t>Inputs!B12</t>
        </is>
      </c>
    </row>
    <row r="13">
      <c r="A13" t="inlineStr">
        <is>
          <t>{{MOD_MARCA}}</t>
        </is>
      </c>
      <c r="B13" t="inlineStr">
        <is>
          <t>Inputs!B13</t>
        </is>
      </c>
    </row>
    <row r="14">
      <c r="A14" t="inlineStr">
        <is>
          <t>{{MOD_MODELO}}</t>
        </is>
      </c>
      <c r="B14" t="inlineStr">
        <is>
          <t>Inputs!B14</t>
        </is>
      </c>
    </row>
    <row r="15">
      <c r="A15" t="inlineStr">
        <is>
          <t>{{MOD_QTD}}</t>
        </is>
      </c>
      <c r="B15" t="inlineStr">
        <is>
          <t>Inputs!B15</t>
        </is>
      </c>
    </row>
    <row r="16">
      <c r="A16" t="inlineStr">
        <is>
          <t>{{MOD_WP}}</t>
        </is>
      </c>
      <c r="B16" t="inlineStr">
        <is>
          <t>Inputs!B16</t>
        </is>
      </c>
    </row>
    <row r="17">
      <c r="A17" t="inlineStr">
        <is>
          <t>{{MOD_EFIC}}</t>
        </is>
      </c>
      <c r="B17" t="inlineStr">
        <is>
          <t>Inputs!B17</t>
        </is>
      </c>
    </row>
    <row r="18">
      <c r="A18" t="inlineStr">
        <is>
          <t>{{MOD_VMP}}</t>
        </is>
      </c>
      <c r="B18" t="inlineStr">
        <is>
          <t>Inputs!B18</t>
        </is>
      </c>
    </row>
    <row r="19">
      <c r="A19" t="inlineStr">
        <is>
          <t>{{MOD_IMP}}</t>
        </is>
      </c>
      <c r="B19" t="inlineStr">
        <is>
          <t>Inputs!B19</t>
        </is>
      </c>
    </row>
    <row r="20">
      <c r="A20" t="inlineStr">
        <is>
          <t>{{MOD_VOC}}</t>
        </is>
      </c>
      <c r="B20" t="inlineStr">
        <is>
          <t>Inputs!B20</t>
        </is>
      </c>
    </row>
    <row r="21">
      <c r="A21" t="inlineStr">
        <is>
          <t>{{MOD_ISC}}</t>
        </is>
      </c>
      <c r="B21" t="inlineStr">
        <is>
          <t>Inputs!B21</t>
        </is>
      </c>
    </row>
    <row r="22">
      <c r="A22" t="inlineStr">
        <is>
          <t>{{MOD_VSYS_MAX}}</t>
        </is>
      </c>
      <c r="B22" t="inlineStr">
        <is>
          <t>Inputs!B22</t>
        </is>
      </c>
    </row>
    <row r="23">
      <c r="A23" t="inlineStr">
        <is>
          <t>{{MOD_FUSIVEL_MAX}}</t>
        </is>
      </c>
      <c r="B23" t="inlineStr">
        <is>
          <t>Inputs!B23</t>
        </is>
      </c>
    </row>
    <row r="24">
      <c r="A24" t="inlineStr">
        <is>
          <t>{{INV_MARCA}}</t>
        </is>
      </c>
      <c r="B24" t="inlineStr">
        <is>
          <t>Inputs!B24</t>
        </is>
      </c>
    </row>
    <row r="25">
      <c r="A25" t="inlineStr">
        <is>
          <t>{{INV_MODELO}}</t>
        </is>
      </c>
      <c r="B25" t="inlineStr">
        <is>
          <t>Inputs!B25</t>
        </is>
      </c>
    </row>
    <row r="26">
      <c r="A26" t="inlineStr">
        <is>
          <t>{{INV_QTD}}</t>
        </is>
      </c>
      <c r="B26" t="inlineStr">
        <is>
          <t>Inputs!B26</t>
        </is>
      </c>
    </row>
    <row r="27">
      <c r="A27" t="inlineStr">
        <is>
          <t>{{INV_PN_KW}}</t>
        </is>
      </c>
      <c r="B27" t="inlineStr">
        <is>
          <t>Inputs!B27</t>
        </is>
      </c>
    </row>
    <row r="28">
      <c r="A28" t="inlineStr">
        <is>
          <t>{{INV_PMAXCC_KW}}</t>
        </is>
      </c>
      <c r="B28" t="inlineStr">
        <is>
          <t>Inputs!B28</t>
        </is>
      </c>
    </row>
    <row r="29">
      <c r="A29" t="inlineStr">
        <is>
          <t>{{INV_VCC_MAX}}</t>
        </is>
      </c>
      <c r="B29" t="inlineStr">
        <is>
          <t>Inputs!B29</t>
        </is>
      </c>
    </row>
    <row r="30">
      <c r="A30" t="inlineStr">
        <is>
          <t>{{INV_ICC_MAX}}</t>
        </is>
      </c>
      <c r="B30" t="inlineStr">
        <is>
          <t>Inputs!B30</t>
        </is>
      </c>
    </row>
    <row r="31">
      <c r="A31" t="inlineStr">
        <is>
          <t>{{INV_VMPPT_MAX}}</t>
        </is>
      </c>
      <c r="B31" t="inlineStr">
        <is>
          <t>Inputs!B31</t>
        </is>
      </c>
    </row>
    <row r="32">
      <c r="A32" t="inlineStr">
        <is>
          <t>{{INV_VMPPT_MIN}}</t>
        </is>
      </c>
      <c r="B32" t="inlineStr">
        <is>
          <t>Inputs!B32</t>
        </is>
      </c>
    </row>
    <row r="33">
      <c r="A33" t="inlineStr">
        <is>
          <t>{{INV_VSTART}}</t>
        </is>
      </c>
      <c r="B33" t="inlineStr">
        <is>
          <t>Inputs!B33</t>
        </is>
      </c>
    </row>
    <row r="34">
      <c r="A34" t="inlineStr">
        <is>
          <t>{{INV_STRINGS}}</t>
        </is>
      </c>
      <c r="B34" t="inlineStr">
        <is>
          <t>Inputs!B34</t>
        </is>
      </c>
    </row>
    <row r="35">
      <c r="A35" t="inlineStr">
        <is>
          <t>{{INV_MPPTS}}</t>
        </is>
      </c>
      <c r="B35" t="inlineStr">
        <is>
          <t>Inputs!B35</t>
        </is>
      </c>
    </row>
    <row r="36">
      <c r="A36" t="inlineStr">
        <is>
          <t>{{INV_PCA_KW}}</t>
        </is>
      </c>
      <c r="B36" t="inlineStr">
        <is>
          <t>Inputs!B36</t>
        </is>
      </c>
    </row>
    <row r="37">
      <c r="A37" t="inlineStr">
        <is>
          <t>{{INV_IMAX_CA}}</t>
        </is>
      </c>
      <c r="B37" t="inlineStr">
        <is>
          <t>Inputs!B37</t>
        </is>
      </c>
    </row>
    <row r="38">
      <c r="A38" t="inlineStr">
        <is>
          <t>{{INV_VAC_NOM}}</t>
        </is>
      </c>
      <c r="B38" t="inlineStr">
        <is>
          <t>Inputs!B38</t>
        </is>
      </c>
    </row>
    <row r="39">
      <c r="A39" t="inlineStr">
        <is>
          <t>{{INV_FN}}</t>
        </is>
      </c>
      <c r="B39" t="inlineStr">
        <is>
          <t>Inputs!B39</t>
        </is>
      </c>
    </row>
    <row r="40">
      <c r="A40" t="inlineStr">
        <is>
          <t>{{INV_FP}}</t>
        </is>
      </c>
      <c r="B40" t="inlineStr">
        <is>
          <t>Inputs!B40</t>
        </is>
      </c>
    </row>
    <row r="41">
      <c r="A41" t="inlineStr">
        <is>
          <t>{{INV_CONEXAO}}</t>
        </is>
      </c>
      <c r="B41" t="inlineStr">
        <is>
          <t>Inputs!B41</t>
        </is>
      </c>
    </row>
    <row r="42">
      <c r="A42" t="inlineStr">
        <is>
          <t>{{INV_EFIC_MAX}}</t>
        </is>
      </c>
      <c r="B42" t="inlineStr">
        <is>
          <t>Inputs!B42</t>
        </is>
      </c>
    </row>
    <row r="43">
      <c r="A43" t="inlineStr">
        <is>
          <t>{{DIST_CC_M}}</t>
        </is>
      </c>
      <c r="B43" t="inlineStr">
        <is>
          <t>Inputs!B43</t>
        </is>
      </c>
    </row>
    <row r="44">
      <c r="A44" t="inlineStr">
        <is>
          <t>{{DIST_CA_M}}</t>
        </is>
      </c>
      <c r="B44" t="inlineStr">
        <is>
          <t>Inputs!B44</t>
        </is>
      </c>
    </row>
    <row r="45">
      <c r="A45" t="inlineStr">
        <is>
          <t>{{BITOLA_CC_MM2}}</t>
        </is>
      </c>
      <c r="B45" t="inlineStr">
        <is>
          <t>Inputs!B45</t>
        </is>
      </c>
    </row>
    <row r="46">
      <c r="A46" t="inlineStr">
        <is>
          <t>{{BITOLA_CA_MM2}}</t>
        </is>
      </c>
      <c r="B46" t="inlineStr">
        <is>
          <t>Inputs!B46</t>
        </is>
      </c>
    </row>
    <row r="47">
      <c r="A47" t="inlineStr">
        <is>
          <t>{{PROT_CC}}</t>
        </is>
      </c>
      <c r="B47" t="inlineStr">
        <is>
          <t>Inputs!B47</t>
        </is>
      </c>
    </row>
    <row r="48">
      <c r="A48" t="inlineStr">
        <is>
          <t>{{PROT_CA}}</t>
        </is>
      </c>
      <c r="B48" t="inlineStr">
        <is>
          <t>Inputs!B48</t>
        </is>
      </c>
    </row>
    <row r="49">
      <c r="A49" t="inlineStr">
        <is>
          <t>{{R_CC_OHMKM}}</t>
        </is>
      </c>
      <c r="B49" t="inlineStr">
        <is>
          <t>Inputs!B49</t>
        </is>
      </c>
    </row>
    <row r="50">
      <c r="A50" t="inlineStr">
        <is>
          <t>{{R_CA_OHMKM}}</t>
        </is>
      </c>
      <c r="B50" t="inlineStr">
        <is>
          <t>Inputs!B50</t>
        </is>
      </c>
    </row>
    <row r="51">
      <c r="A51" t="inlineStr">
        <is>
          <t>{{FV_POT_STC_KWP}}</t>
        </is>
      </c>
      <c r="B51" t="inlineStr">
        <is>
          <t>Calculos!B2</t>
        </is>
      </c>
    </row>
    <row r="52">
      <c r="A52" t="inlineStr">
        <is>
          <t>{{FV_POT_VI_W}}</t>
        </is>
      </c>
      <c r="B52" t="inlineStr">
        <is>
          <t>Calculos!B3</t>
        </is>
      </c>
    </row>
    <row r="53">
      <c r="A53" t="inlineStr">
        <is>
          <t>{{VCC_NOM}}</t>
        </is>
      </c>
      <c r="B53" t="inlineStr">
        <is>
          <t>Calculos!B4</t>
        </is>
      </c>
    </row>
    <row r="54">
      <c r="A54" t="inlineStr">
        <is>
          <t>{{ICC_MAX}}</t>
        </is>
      </c>
      <c r="B54" t="inlineStr">
        <is>
          <t>Calculos!B5</t>
        </is>
      </c>
    </row>
    <row r="55">
      <c r="A55" t="inlineStr">
        <is>
          <t>{{IAC_MAX}}</t>
        </is>
      </c>
      <c r="B55" t="inlineStr">
        <is>
          <t>Calculos!B6</t>
        </is>
      </c>
    </row>
    <row r="56">
      <c r="A56" t="inlineStr">
        <is>
          <t>{{DV_CC_V}}</t>
        </is>
      </c>
      <c r="B56" t="inlineStr">
        <is>
          <t>Calculos!B7</t>
        </is>
      </c>
    </row>
    <row r="57">
      <c r="A57" t="inlineStr">
        <is>
          <t>{{DV_CC_PERC}}</t>
        </is>
      </c>
      <c r="B57" t="inlineStr">
        <is>
          <t>Calculos!B8</t>
        </is>
      </c>
    </row>
    <row r="58">
      <c r="A58" t="inlineStr">
        <is>
          <t>{{DV_CA_V}}</t>
        </is>
      </c>
      <c r="B58" t="inlineStr">
        <is>
          <t>Calculos!B9</t>
        </is>
      </c>
    </row>
    <row r="59">
      <c r="A59" t="inlineStr">
        <is>
          <t>{{DV_CA_PERC}}</t>
        </is>
      </c>
      <c r="B59" t="inlineStr">
        <is>
          <t>Calculos!B10</t>
        </is>
      </c>
    </row>
    <row r="60">
      <c r="A60" t="inlineStr">
        <is>
          <t>{{CONS_MES1}}</t>
        </is>
      </c>
      <c r="B60" t="inlineStr">
        <is>
          <t>Consumo_24m!B2</t>
        </is>
      </c>
    </row>
    <row r="61">
      <c r="A61" t="inlineStr">
        <is>
          <t>{{CONS_MES2}}</t>
        </is>
      </c>
      <c r="B61" t="inlineStr">
        <is>
          <t>Consumo_24m!B3</t>
        </is>
      </c>
    </row>
    <row r="62">
      <c r="A62" t="inlineStr">
        <is>
          <t>{{CONS_MES3}}</t>
        </is>
      </c>
      <c r="B62" t="inlineStr">
        <is>
          <t>Consumo_24m!B4</t>
        </is>
      </c>
    </row>
    <row r="63">
      <c r="A63" t="inlineStr">
        <is>
          <t>{{CONS_MES4}}</t>
        </is>
      </c>
      <c r="B63" t="inlineStr">
        <is>
          <t>Consumo_24m!B5</t>
        </is>
      </c>
    </row>
    <row r="64">
      <c r="A64" t="inlineStr">
        <is>
          <t>{{CONS_MES5}}</t>
        </is>
      </c>
      <c r="B64" t="inlineStr">
        <is>
          <t>Consumo_24m!B6</t>
        </is>
      </c>
    </row>
    <row r="65">
      <c r="A65" t="inlineStr">
        <is>
          <t>{{CONS_MES6}}</t>
        </is>
      </c>
      <c r="B65" t="inlineStr">
        <is>
          <t>Consumo_24m!B7</t>
        </is>
      </c>
    </row>
    <row r="66">
      <c r="A66" t="inlineStr">
        <is>
          <t>{{CONS_MES7}}</t>
        </is>
      </c>
      <c r="B66" t="inlineStr">
        <is>
          <t>Consumo_24m!B8</t>
        </is>
      </c>
    </row>
    <row r="67">
      <c r="A67" t="inlineStr">
        <is>
          <t>{{CONS_MES8}}</t>
        </is>
      </c>
      <c r="B67" t="inlineStr">
        <is>
          <t>Consumo_24m!B9</t>
        </is>
      </c>
    </row>
    <row r="68">
      <c r="A68" t="inlineStr">
        <is>
          <t>{{CONS_MES9}}</t>
        </is>
      </c>
      <c r="B68" t="inlineStr">
        <is>
          <t>Consumo_24m!B10</t>
        </is>
      </c>
    </row>
    <row r="69">
      <c r="A69" t="inlineStr">
        <is>
          <t>{{CONS_MES10}}</t>
        </is>
      </c>
      <c r="B69" t="inlineStr">
        <is>
          <t>Consumo_24m!B11</t>
        </is>
      </c>
    </row>
    <row r="70">
      <c r="A70" t="inlineStr">
        <is>
          <t>{{CONS_MES11}}</t>
        </is>
      </c>
      <c r="B70" t="inlineStr">
        <is>
          <t>Consumo_24m!B12</t>
        </is>
      </c>
    </row>
    <row r="71">
      <c r="A71" t="inlineStr">
        <is>
          <t>{{CONS_MES12}}</t>
        </is>
      </c>
      <c r="B71" t="inlineStr">
        <is>
          <t>Consumo_24m!B13</t>
        </is>
      </c>
    </row>
    <row r="72">
      <c r="A72" t="inlineStr">
        <is>
          <t>{{CONS_MES13}}</t>
        </is>
      </c>
      <c r="B72" t="inlineStr">
        <is>
          <t>Consumo_24m!B14</t>
        </is>
      </c>
    </row>
    <row r="73">
      <c r="A73" t="inlineStr">
        <is>
          <t>{{CONS_MES14}}</t>
        </is>
      </c>
      <c r="B73" t="inlineStr">
        <is>
          <t>Consumo_24m!B15</t>
        </is>
      </c>
    </row>
    <row r="74">
      <c r="A74" t="inlineStr">
        <is>
          <t>{{CONS_MES15}}</t>
        </is>
      </c>
      <c r="B74" t="inlineStr">
        <is>
          <t>Consumo_24m!B16</t>
        </is>
      </c>
    </row>
    <row r="75">
      <c r="A75" t="inlineStr">
        <is>
          <t>{{CONS_MES16}}</t>
        </is>
      </c>
      <c r="B75" t="inlineStr">
        <is>
          <t>Consumo_24m!B17</t>
        </is>
      </c>
    </row>
    <row r="76">
      <c r="A76" t="inlineStr">
        <is>
          <t>{{CONS_MES17}}</t>
        </is>
      </c>
      <c r="B76" t="inlineStr">
        <is>
          <t>Consumo_24m!B18</t>
        </is>
      </c>
    </row>
    <row r="77">
      <c r="A77" t="inlineStr">
        <is>
          <t>{{CONS_MES18}}</t>
        </is>
      </c>
      <c r="B77" t="inlineStr">
        <is>
          <t>Consumo_24m!B19</t>
        </is>
      </c>
    </row>
    <row r="78">
      <c r="A78" t="inlineStr">
        <is>
          <t>{{CONS_MES19}}</t>
        </is>
      </c>
      <c r="B78" t="inlineStr">
        <is>
          <t>Consumo_24m!B20</t>
        </is>
      </c>
    </row>
    <row r="79">
      <c r="A79" t="inlineStr">
        <is>
          <t>{{CONS_MES20}}</t>
        </is>
      </c>
      <c r="B79" t="inlineStr">
        <is>
          <t>Consumo_24m!B21</t>
        </is>
      </c>
    </row>
    <row r="80">
      <c r="A80" t="inlineStr">
        <is>
          <t>{{CONS_MES21}}</t>
        </is>
      </c>
      <c r="B80" t="inlineStr">
        <is>
          <t>Consumo_24m!B22</t>
        </is>
      </c>
    </row>
    <row r="81">
      <c r="A81" t="inlineStr">
        <is>
          <t>{{CONS_MES22}}</t>
        </is>
      </c>
      <c r="B81" t="inlineStr">
        <is>
          <t>Consumo_24m!B23</t>
        </is>
      </c>
    </row>
    <row r="82">
      <c r="A82" t="inlineStr">
        <is>
          <t>{{CONS_MES23}}</t>
        </is>
      </c>
      <c r="B82" t="inlineStr">
        <is>
          <t>Consumo_24m!B24</t>
        </is>
      </c>
    </row>
    <row r="83">
      <c r="A83" t="inlineStr">
        <is>
          <t>{{CONS_MES24}}</t>
        </is>
      </c>
      <c r="B83" t="inlineStr">
        <is>
          <t>Consumo_24m!B25</t>
        </is>
      </c>
    </row>
    <row r="84">
      <c r="A84" t="inlineStr">
        <is>
          <t>{{CONS_TOTAL}}</t>
        </is>
      </c>
      <c r="B84" t="inlineStr">
        <is>
          <t>Consumo_24m!B26</t>
        </is>
      </c>
    </row>
    <row r="85">
      <c r="A85" t="inlineStr">
        <is>
          <t>{{CONS_MEDIA}}</t>
        </is>
      </c>
      <c r="B85" t="inlineStr">
        <is>
          <t>Consumo_24m!B27</t>
        </is>
      </c>
    </row>
    <row r="86">
      <c r="A86" t="inlineStr">
        <is>
          <t>{{CARGA1_DESC}}</t>
        </is>
      </c>
      <c r="B86" t="inlineStr">
        <is>
          <t>Cargas_24!B2</t>
        </is>
      </c>
    </row>
    <row r="87">
      <c r="A87" t="inlineStr">
        <is>
          <t>{{CARGA1_P_W}}</t>
        </is>
      </c>
      <c r="B87" t="inlineStr">
        <is>
          <t>Cargas_24!C2</t>
        </is>
      </c>
    </row>
    <row r="88">
      <c r="A88" t="inlineStr">
        <is>
          <t>{{CARGA1_QTD}}</t>
        </is>
      </c>
      <c r="B88" t="inlineStr">
        <is>
          <t>Cargas_24!D2</t>
        </is>
      </c>
    </row>
    <row r="89">
      <c r="A89" t="inlineStr">
        <is>
          <t>{{CARGA1_FP}}</t>
        </is>
      </c>
      <c r="B89" t="inlineStr">
        <is>
          <t>Cargas_24!E2</t>
        </is>
      </c>
    </row>
    <row r="90">
      <c r="A90" t="inlineStr">
        <is>
          <t>{{CARGA1_CI_KW}}</t>
        </is>
      </c>
      <c r="B90" t="inlineStr">
        <is>
          <t>Cargas_24!F2</t>
        </is>
      </c>
    </row>
    <row r="91">
      <c r="A91" t="inlineStr">
        <is>
          <t>{{CARGA1_CI_KVA}}</t>
        </is>
      </c>
      <c r="B91" t="inlineStr">
        <is>
          <t>Cargas_24!G2</t>
        </is>
      </c>
    </row>
    <row r="92">
      <c r="A92" t="inlineStr">
        <is>
          <t>{{CARGA2_DESC}}</t>
        </is>
      </c>
      <c r="B92" t="inlineStr">
        <is>
          <t>Cargas_24!B3</t>
        </is>
      </c>
    </row>
    <row r="93">
      <c r="A93" t="inlineStr">
        <is>
          <t>{{CARGA2_P_W}}</t>
        </is>
      </c>
      <c r="B93" t="inlineStr">
        <is>
          <t>Cargas_24!C3</t>
        </is>
      </c>
    </row>
    <row r="94">
      <c r="A94" t="inlineStr">
        <is>
          <t>{{CARGA2_QTD}}</t>
        </is>
      </c>
      <c r="B94" t="inlineStr">
        <is>
          <t>Cargas_24!D3</t>
        </is>
      </c>
    </row>
    <row r="95">
      <c r="A95" t="inlineStr">
        <is>
          <t>{{CARGA2_FP}}</t>
        </is>
      </c>
      <c r="B95" t="inlineStr">
        <is>
          <t>Cargas_24!E3</t>
        </is>
      </c>
    </row>
    <row r="96">
      <c r="A96" t="inlineStr">
        <is>
          <t>{{CARGA2_CI_KW}}</t>
        </is>
      </c>
      <c r="B96" t="inlineStr">
        <is>
          <t>Cargas_24!F3</t>
        </is>
      </c>
    </row>
    <row r="97">
      <c r="A97" t="inlineStr">
        <is>
          <t>{{CARGA2_CI_KVA}}</t>
        </is>
      </c>
      <c r="B97" t="inlineStr">
        <is>
          <t>Cargas_24!G3</t>
        </is>
      </c>
    </row>
    <row r="98">
      <c r="A98" t="inlineStr">
        <is>
          <t>{{CARGA3_DESC}}</t>
        </is>
      </c>
      <c r="B98" t="inlineStr">
        <is>
          <t>Cargas_24!B4</t>
        </is>
      </c>
    </row>
    <row r="99">
      <c r="A99" t="inlineStr">
        <is>
          <t>{{CARGA3_P_W}}</t>
        </is>
      </c>
      <c r="B99" t="inlineStr">
        <is>
          <t>Cargas_24!C4</t>
        </is>
      </c>
    </row>
    <row r="100">
      <c r="A100" t="inlineStr">
        <is>
          <t>{{CARGA3_QTD}}</t>
        </is>
      </c>
      <c r="B100" t="inlineStr">
        <is>
          <t>Cargas_24!D4</t>
        </is>
      </c>
    </row>
    <row r="101">
      <c r="A101" t="inlineStr">
        <is>
          <t>{{CARGA3_FP}}</t>
        </is>
      </c>
      <c r="B101" t="inlineStr">
        <is>
          <t>Cargas_24!E4</t>
        </is>
      </c>
    </row>
    <row r="102">
      <c r="A102" t="inlineStr">
        <is>
          <t>{{CARGA3_CI_KW}}</t>
        </is>
      </c>
      <c r="B102" t="inlineStr">
        <is>
          <t>Cargas_24!F4</t>
        </is>
      </c>
    </row>
    <row r="103">
      <c r="A103" t="inlineStr">
        <is>
          <t>{{CARGA3_CI_KVA}}</t>
        </is>
      </c>
      <c r="B103" t="inlineStr">
        <is>
          <t>Cargas_24!G4</t>
        </is>
      </c>
    </row>
    <row r="104">
      <c r="A104" t="inlineStr">
        <is>
          <t>{{CARGA4_DESC}}</t>
        </is>
      </c>
      <c r="B104" t="inlineStr">
        <is>
          <t>Cargas_24!B5</t>
        </is>
      </c>
    </row>
    <row r="105">
      <c r="A105" t="inlineStr">
        <is>
          <t>{{CARGA4_P_W}}</t>
        </is>
      </c>
      <c r="B105" t="inlineStr">
        <is>
          <t>Cargas_24!C5</t>
        </is>
      </c>
    </row>
    <row r="106">
      <c r="A106" t="inlineStr">
        <is>
          <t>{{CARGA4_QTD}}</t>
        </is>
      </c>
      <c r="B106" t="inlineStr">
        <is>
          <t>Cargas_24!D5</t>
        </is>
      </c>
    </row>
    <row r="107">
      <c r="A107" t="inlineStr">
        <is>
          <t>{{CARGA4_FP}}</t>
        </is>
      </c>
      <c r="B107" t="inlineStr">
        <is>
          <t>Cargas_24!E5</t>
        </is>
      </c>
    </row>
    <row r="108">
      <c r="A108" t="inlineStr">
        <is>
          <t>{{CARGA4_CI_KW}}</t>
        </is>
      </c>
      <c r="B108" t="inlineStr">
        <is>
          <t>Cargas_24!F5</t>
        </is>
      </c>
    </row>
    <row r="109">
      <c r="A109" t="inlineStr">
        <is>
          <t>{{CARGA4_CI_KVA}}</t>
        </is>
      </c>
      <c r="B109" t="inlineStr">
        <is>
          <t>Cargas_24!G5</t>
        </is>
      </c>
    </row>
    <row r="110">
      <c r="A110" t="inlineStr">
        <is>
          <t>{{CARGA5_DESC}}</t>
        </is>
      </c>
      <c r="B110" t="inlineStr">
        <is>
          <t>Cargas_24!B6</t>
        </is>
      </c>
    </row>
    <row r="111">
      <c r="A111" t="inlineStr">
        <is>
          <t>{{CARGA5_P_W}}</t>
        </is>
      </c>
      <c r="B111" t="inlineStr">
        <is>
          <t>Cargas_24!C6</t>
        </is>
      </c>
    </row>
    <row r="112">
      <c r="A112" t="inlineStr">
        <is>
          <t>{{CARGA5_QTD}}</t>
        </is>
      </c>
      <c r="B112" t="inlineStr">
        <is>
          <t>Cargas_24!D6</t>
        </is>
      </c>
    </row>
    <row r="113">
      <c r="A113" t="inlineStr">
        <is>
          <t>{{CARGA5_FP}}</t>
        </is>
      </c>
      <c r="B113" t="inlineStr">
        <is>
          <t>Cargas_24!E6</t>
        </is>
      </c>
    </row>
    <row r="114">
      <c r="A114" t="inlineStr">
        <is>
          <t>{{CARGA5_CI_KW}}</t>
        </is>
      </c>
      <c r="B114" t="inlineStr">
        <is>
          <t>Cargas_24!F6</t>
        </is>
      </c>
    </row>
    <row r="115">
      <c r="A115" t="inlineStr">
        <is>
          <t>{{CARGA5_CI_KVA}}</t>
        </is>
      </c>
      <c r="B115" t="inlineStr">
        <is>
          <t>Cargas_24!G6</t>
        </is>
      </c>
    </row>
    <row r="116">
      <c r="A116" t="inlineStr">
        <is>
          <t>{{CARGA6_DESC}}</t>
        </is>
      </c>
      <c r="B116" t="inlineStr">
        <is>
          <t>Cargas_24!B7</t>
        </is>
      </c>
    </row>
    <row r="117">
      <c r="A117" t="inlineStr">
        <is>
          <t>{{CARGA6_P_W}}</t>
        </is>
      </c>
      <c r="B117" t="inlineStr">
        <is>
          <t>Cargas_24!C7</t>
        </is>
      </c>
    </row>
    <row r="118">
      <c r="A118" t="inlineStr">
        <is>
          <t>{{CARGA6_QTD}}</t>
        </is>
      </c>
      <c r="B118" t="inlineStr">
        <is>
          <t>Cargas_24!D7</t>
        </is>
      </c>
    </row>
    <row r="119">
      <c r="A119" t="inlineStr">
        <is>
          <t>{{CARGA6_FP}}</t>
        </is>
      </c>
      <c r="B119" t="inlineStr">
        <is>
          <t>Cargas_24!E7</t>
        </is>
      </c>
    </row>
    <row r="120">
      <c r="A120" t="inlineStr">
        <is>
          <t>{{CARGA6_CI_KW}}</t>
        </is>
      </c>
      <c r="B120" t="inlineStr">
        <is>
          <t>Cargas_24!F7</t>
        </is>
      </c>
    </row>
    <row r="121">
      <c r="A121" t="inlineStr">
        <is>
          <t>{{CARGA6_CI_KVA}}</t>
        </is>
      </c>
      <c r="B121" t="inlineStr">
        <is>
          <t>Cargas_24!G7</t>
        </is>
      </c>
    </row>
    <row r="122">
      <c r="A122" t="inlineStr">
        <is>
          <t>{{CARGA7_DESC}}</t>
        </is>
      </c>
      <c r="B122" t="inlineStr">
        <is>
          <t>Cargas_24!B8</t>
        </is>
      </c>
    </row>
    <row r="123">
      <c r="A123" t="inlineStr">
        <is>
          <t>{{CARGA7_P_W}}</t>
        </is>
      </c>
      <c r="B123" t="inlineStr">
        <is>
          <t>Cargas_24!C8</t>
        </is>
      </c>
    </row>
    <row r="124">
      <c r="A124" t="inlineStr">
        <is>
          <t>{{CARGA7_QTD}}</t>
        </is>
      </c>
      <c r="B124" t="inlineStr">
        <is>
          <t>Cargas_24!D8</t>
        </is>
      </c>
    </row>
    <row r="125">
      <c r="A125" t="inlineStr">
        <is>
          <t>{{CARGA7_FP}}</t>
        </is>
      </c>
      <c r="B125" t="inlineStr">
        <is>
          <t>Cargas_24!E8</t>
        </is>
      </c>
    </row>
    <row r="126">
      <c r="A126" t="inlineStr">
        <is>
          <t>{{CARGA7_CI_KW}}</t>
        </is>
      </c>
      <c r="B126" t="inlineStr">
        <is>
          <t>Cargas_24!F8</t>
        </is>
      </c>
    </row>
    <row r="127">
      <c r="A127" t="inlineStr">
        <is>
          <t>{{CARGA7_CI_KVA}}</t>
        </is>
      </c>
      <c r="B127" t="inlineStr">
        <is>
          <t>Cargas_24!G8</t>
        </is>
      </c>
    </row>
    <row r="128">
      <c r="A128" t="inlineStr">
        <is>
          <t>{{CARGA8_DESC}}</t>
        </is>
      </c>
      <c r="B128" t="inlineStr">
        <is>
          <t>Cargas_24!B9</t>
        </is>
      </c>
    </row>
    <row r="129">
      <c r="A129" t="inlineStr">
        <is>
          <t>{{CARGA8_P_W}}</t>
        </is>
      </c>
      <c r="B129" t="inlineStr">
        <is>
          <t>Cargas_24!C9</t>
        </is>
      </c>
    </row>
    <row r="130">
      <c r="A130" t="inlineStr">
        <is>
          <t>{{CARGA8_QTD}}</t>
        </is>
      </c>
      <c r="B130" t="inlineStr">
        <is>
          <t>Cargas_24!D9</t>
        </is>
      </c>
    </row>
    <row r="131">
      <c r="A131" t="inlineStr">
        <is>
          <t>{{CARGA8_FP}}</t>
        </is>
      </c>
      <c r="B131" t="inlineStr">
        <is>
          <t>Cargas_24!E9</t>
        </is>
      </c>
    </row>
    <row r="132">
      <c r="A132" t="inlineStr">
        <is>
          <t>{{CARGA8_CI_KW}}</t>
        </is>
      </c>
      <c r="B132" t="inlineStr">
        <is>
          <t>Cargas_24!F9</t>
        </is>
      </c>
    </row>
    <row r="133">
      <c r="A133" t="inlineStr">
        <is>
          <t>{{CARGA8_CI_KVA}}</t>
        </is>
      </c>
      <c r="B133" t="inlineStr">
        <is>
          <t>Cargas_24!G9</t>
        </is>
      </c>
    </row>
    <row r="134">
      <c r="A134" t="inlineStr">
        <is>
          <t>{{CARGA9_DESC}}</t>
        </is>
      </c>
      <c r="B134" t="inlineStr">
        <is>
          <t>Cargas_24!B10</t>
        </is>
      </c>
    </row>
    <row r="135">
      <c r="A135" t="inlineStr">
        <is>
          <t>{{CARGA9_P_W}}</t>
        </is>
      </c>
      <c r="B135" t="inlineStr">
        <is>
          <t>Cargas_24!C10</t>
        </is>
      </c>
    </row>
    <row r="136">
      <c r="A136" t="inlineStr">
        <is>
          <t>{{CARGA9_QTD}}</t>
        </is>
      </c>
      <c r="B136" t="inlineStr">
        <is>
          <t>Cargas_24!D10</t>
        </is>
      </c>
    </row>
    <row r="137">
      <c r="A137" t="inlineStr">
        <is>
          <t>{{CARGA9_FP}}</t>
        </is>
      </c>
      <c r="B137" t="inlineStr">
        <is>
          <t>Cargas_24!E10</t>
        </is>
      </c>
    </row>
    <row r="138">
      <c r="A138" t="inlineStr">
        <is>
          <t>{{CARGA9_CI_KW}}</t>
        </is>
      </c>
      <c r="B138" t="inlineStr">
        <is>
          <t>Cargas_24!F10</t>
        </is>
      </c>
    </row>
    <row r="139">
      <c r="A139" t="inlineStr">
        <is>
          <t>{{CARGA9_CI_KVA}}</t>
        </is>
      </c>
      <c r="B139" t="inlineStr">
        <is>
          <t>Cargas_24!G10</t>
        </is>
      </c>
    </row>
    <row r="140">
      <c r="A140" t="inlineStr">
        <is>
          <t>{{CARGA10_DESC}}</t>
        </is>
      </c>
      <c r="B140" t="inlineStr">
        <is>
          <t>Cargas_24!B11</t>
        </is>
      </c>
    </row>
    <row r="141">
      <c r="A141" t="inlineStr">
        <is>
          <t>{{CARGA10_P_W}}</t>
        </is>
      </c>
      <c r="B141" t="inlineStr">
        <is>
          <t>Cargas_24!C11</t>
        </is>
      </c>
    </row>
    <row r="142">
      <c r="A142" t="inlineStr">
        <is>
          <t>{{CARGA10_QTD}}</t>
        </is>
      </c>
      <c r="B142" t="inlineStr">
        <is>
          <t>Cargas_24!D11</t>
        </is>
      </c>
    </row>
    <row r="143">
      <c r="A143" t="inlineStr">
        <is>
          <t>{{CARGA10_FP}}</t>
        </is>
      </c>
      <c r="B143" t="inlineStr">
        <is>
          <t>Cargas_24!E11</t>
        </is>
      </c>
    </row>
    <row r="144">
      <c r="A144" t="inlineStr">
        <is>
          <t>{{CARGA10_CI_KW}}</t>
        </is>
      </c>
      <c r="B144" t="inlineStr">
        <is>
          <t>Cargas_24!F11</t>
        </is>
      </c>
    </row>
    <row r="145">
      <c r="A145" t="inlineStr">
        <is>
          <t>{{CARGA10_CI_KVA}}</t>
        </is>
      </c>
      <c r="B145" t="inlineStr">
        <is>
          <t>Cargas_24!G11</t>
        </is>
      </c>
    </row>
    <row r="146">
      <c r="A146" t="inlineStr">
        <is>
          <t>{{CARGA11_DESC}}</t>
        </is>
      </c>
      <c r="B146" t="inlineStr">
        <is>
          <t>Cargas_24!B12</t>
        </is>
      </c>
    </row>
    <row r="147">
      <c r="A147" t="inlineStr">
        <is>
          <t>{{CARGA11_P_W}}</t>
        </is>
      </c>
      <c r="B147" t="inlineStr">
        <is>
          <t>Cargas_24!C12</t>
        </is>
      </c>
    </row>
    <row r="148">
      <c r="A148" t="inlineStr">
        <is>
          <t>{{CARGA11_QTD}}</t>
        </is>
      </c>
      <c r="B148" t="inlineStr">
        <is>
          <t>Cargas_24!D12</t>
        </is>
      </c>
    </row>
    <row r="149">
      <c r="A149" t="inlineStr">
        <is>
          <t>{{CARGA11_FP}}</t>
        </is>
      </c>
      <c r="B149" t="inlineStr">
        <is>
          <t>Cargas_24!E12</t>
        </is>
      </c>
    </row>
    <row r="150">
      <c r="A150" t="inlineStr">
        <is>
          <t>{{CARGA11_CI_KW}}</t>
        </is>
      </c>
      <c r="B150" t="inlineStr">
        <is>
          <t>Cargas_24!F12</t>
        </is>
      </c>
    </row>
    <row r="151">
      <c r="A151" t="inlineStr">
        <is>
          <t>{{CARGA11_CI_KVA}}</t>
        </is>
      </c>
      <c r="B151" t="inlineStr">
        <is>
          <t>Cargas_24!G12</t>
        </is>
      </c>
    </row>
    <row r="152">
      <c r="A152" t="inlineStr">
        <is>
          <t>{{CARGA12_DESC}}</t>
        </is>
      </c>
      <c r="B152" t="inlineStr">
        <is>
          <t>Cargas_24!B13</t>
        </is>
      </c>
    </row>
    <row r="153">
      <c r="A153" t="inlineStr">
        <is>
          <t>{{CARGA12_P_W}}</t>
        </is>
      </c>
      <c r="B153" t="inlineStr">
        <is>
          <t>Cargas_24!C13</t>
        </is>
      </c>
    </row>
    <row r="154">
      <c r="A154" t="inlineStr">
        <is>
          <t>{{CARGA12_QTD}}</t>
        </is>
      </c>
      <c r="B154" t="inlineStr">
        <is>
          <t>Cargas_24!D13</t>
        </is>
      </c>
    </row>
    <row r="155">
      <c r="A155" t="inlineStr">
        <is>
          <t>{{CARGA12_FP}}</t>
        </is>
      </c>
      <c r="B155" t="inlineStr">
        <is>
          <t>Cargas_24!E13</t>
        </is>
      </c>
    </row>
    <row r="156">
      <c r="A156" t="inlineStr">
        <is>
          <t>{{CARGA12_CI_KW}}</t>
        </is>
      </c>
      <c r="B156" t="inlineStr">
        <is>
          <t>Cargas_24!F13</t>
        </is>
      </c>
    </row>
    <row r="157">
      <c r="A157" t="inlineStr">
        <is>
          <t>{{CARGA12_CI_KVA}}</t>
        </is>
      </c>
      <c r="B157" t="inlineStr">
        <is>
          <t>Cargas_24!G13</t>
        </is>
      </c>
    </row>
    <row r="158">
      <c r="A158" t="inlineStr">
        <is>
          <t>{{CARGA13_DESC}}</t>
        </is>
      </c>
      <c r="B158" t="inlineStr">
        <is>
          <t>Cargas_24!B14</t>
        </is>
      </c>
    </row>
    <row r="159">
      <c r="A159" t="inlineStr">
        <is>
          <t>{{CARGA13_P_W}}</t>
        </is>
      </c>
      <c r="B159" t="inlineStr">
        <is>
          <t>Cargas_24!C14</t>
        </is>
      </c>
    </row>
    <row r="160">
      <c r="A160" t="inlineStr">
        <is>
          <t>{{CARGA13_QTD}}</t>
        </is>
      </c>
      <c r="B160" t="inlineStr">
        <is>
          <t>Cargas_24!D14</t>
        </is>
      </c>
    </row>
    <row r="161">
      <c r="A161" t="inlineStr">
        <is>
          <t>{{CARGA13_FP}}</t>
        </is>
      </c>
      <c r="B161" t="inlineStr">
        <is>
          <t>Cargas_24!E14</t>
        </is>
      </c>
    </row>
    <row r="162">
      <c r="A162" t="inlineStr">
        <is>
          <t>{{CARGA13_CI_KW}}</t>
        </is>
      </c>
      <c r="B162" t="inlineStr">
        <is>
          <t>Cargas_24!F14</t>
        </is>
      </c>
    </row>
    <row r="163">
      <c r="A163" t="inlineStr">
        <is>
          <t>{{CARGA13_CI_KVA}}</t>
        </is>
      </c>
      <c r="B163" t="inlineStr">
        <is>
          <t>Cargas_24!G14</t>
        </is>
      </c>
    </row>
    <row r="164">
      <c r="A164" t="inlineStr">
        <is>
          <t>{{CARGA14_DESC}}</t>
        </is>
      </c>
      <c r="B164" t="inlineStr">
        <is>
          <t>Cargas_24!B15</t>
        </is>
      </c>
    </row>
    <row r="165">
      <c r="A165" t="inlineStr">
        <is>
          <t>{{CARGA14_P_W}}</t>
        </is>
      </c>
      <c r="B165" t="inlineStr">
        <is>
          <t>Cargas_24!C15</t>
        </is>
      </c>
    </row>
    <row r="166">
      <c r="A166" t="inlineStr">
        <is>
          <t>{{CARGA14_QTD}}</t>
        </is>
      </c>
      <c r="B166" t="inlineStr">
        <is>
          <t>Cargas_24!D15</t>
        </is>
      </c>
    </row>
    <row r="167">
      <c r="A167" t="inlineStr">
        <is>
          <t>{{CARGA14_FP}}</t>
        </is>
      </c>
      <c r="B167" t="inlineStr">
        <is>
          <t>Cargas_24!E15</t>
        </is>
      </c>
    </row>
    <row r="168">
      <c r="A168" t="inlineStr">
        <is>
          <t>{{CARGA14_CI_KW}}</t>
        </is>
      </c>
      <c r="B168" t="inlineStr">
        <is>
          <t>Cargas_24!F15</t>
        </is>
      </c>
    </row>
    <row r="169">
      <c r="A169" t="inlineStr">
        <is>
          <t>{{CARGA14_CI_KVA}}</t>
        </is>
      </c>
      <c r="B169" t="inlineStr">
        <is>
          <t>Cargas_24!G15</t>
        </is>
      </c>
    </row>
    <row r="170">
      <c r="A170" t="inlineStr">
        <is>
          <t>{{CARGA15_DESC}}</t>
        </is>
      </c>
      <c r="B170" t="inlineStr">
        <is>
          <t>Cargas_24!B16</t>
        </is>
      </c>
    </row>
    <row r="171">
      <c r="A171" t="inlineStr">
        <is>
          <t>{{CARGA15_P_W}}</t>
        </is>
      </c>
      <c r="B171" t="inlineStr">
        <is>
          <t>Cargas_24!C16</t>
        </is>
      </c>
    </row>
    <row r="172">
      <c r="A172" t="inlineStr">
        <is>
          <t>{{CARGA15_QTD}}</t>
        </is>
      </c>
      <c r="B172" t="inlineStr">
        <is>
          <t>Cargas_24!D16</t>
        </is>
      </c>
    </row>
    <row r="173">
      <c r="A173" t="inlineStr">
        <is>
          <t>{{CARGA15_FP}}</t>
        </is>
      </c>
      <c r="B173" t="inlineStr">
        <is>
          <t>Cargas_24!E16</t>
        </is>
      </c>
    </row>
    <row r="174">
      <c r="A174" t="inlineStr">
        <is>
          <t>{{CARGA15_CI_KW}}</t>
        </is>
      </c>
      <c r="B174" t="inlineStr">
        <is>
          <t>Cargas_24!F16</t>
        </is>
      </c>
    </row>
    <row r="175">
      <c r="A175" t="inlineStr">
        <is>
          <t>{{CARGA15_CI_KVA}}</t>
        </is>
      </c>
      <c r="B175" t="inlineStr">
        <is>
          <t>Cargas_24!G16</t>
        </is>
      </c>
    </row>
    <row r="176">
      <c r="A176" t="inlineStr">
        <is>
          <t>{{CARGA16_DESC}}</t>
        </is>
      </c>
      <c r="B176" t="inlineStr">
        <is>
          <t>Cargas_24!B17</t>
        </is>
      </c>
    </row>
    <row r="177">
      <c r="A177" t="inlineStr">
        <is>
          <t>{{CARGA16_P_W}}</t>
        </is>
      </c>
      <c r="B177" t="inlineStr">
        <is>
          <t>Cargas_24!C17</t>
        </is>
      </c>
    </row>
    <row r="178">
      <c r="A178" t="inlineStr">
        <is>
          <t>{{CARGA16_QTD}}</t>
        </is>
      </c>
      <c r="B178" t="inlineStr">
        <is>
          <t>Cargas_24!D17</t>
        </is>
      </c>
    </row>
    <row r="179">
      <c r="A179" t="inlineStr">
        <is>
          <t>{{CARGA16_FP}}</t>
        </is>
      </c>
      <c r="B179" t="inlineStr">
        <is>
          <t>Cargas_24!E17</t>
        </is>
      </c>
    </row>
    <row r="180">
      <c r="A180" t="inlineStr">
        <is>
          <t>{{CARGA16_CI_KW}}</t>
        </is>
      </c>
      <c r="B180" t="inlineStr">
        <is>
          <t>Cargas_24!F17</t>
        </is>
      </c>
    </row>
    <row r="181">
      <c r="A181" t="inlineStr">
        <is>
          <t>{{CARGA16_CI_KVA}}</t>
        </is>
      </c>
      <c r="B181" t="inlineStr">
        <is>
          <t>Cargas_24!G17</t>
        </is>
      </c>
    </row>
    <row r="182">
      <c r="A182" t="inlineStr">
        <is>
          <t>{{CARGA17_DESC}}</t>
        </is>
      </c>
      <c r="B182" t="inlineStr">
        <is>
          <t>Cargas_24!B18</t>
        </is>
      </c>
    </row>
    <row r="183">
      <c r="A183" t="inlineStr">
        <is>
          <t>{{CARGA17_P_W}}</t>
        </is>
      </c>
      <c r="B183" t="inlineStr">
        <is>
          <t>Cargas_24!C18</t>
        </is>
      </c>
    </row>
    <row r="184">
      <c r="A184" t="inlineStr">
        <is>
          <t>{{CARGA17_QTD}}</t>
        </is>
      </c>
      <c r="B184" t="inlineStr">
        <is>
          <t>Cargas_24!D18</t>
        </is>
      </c>
    </row>
    <row r="185">
      <c r="A185" t="inlineStr">
        <is>
          <t>{{CARGA17_FP}}</t>
        </is>
      </c>
      <c r="B185" t="inlineStr">
        <is>
          <t>Cargas_24!E18</t>
        </is>
      </c>
    </row>
    <row r="186">
      <c r="A186" t="inlineStr">
        <is>
          <t>{{CARGA17_CI_KW}}</t>
        </is>
      </c>
      <c r="B186" t="inlineStr">
        <is>
          <t>Cargas_24!F18</t>
        </is>
      </c>
    </row>
    <row r="187">
      <c r="A187" t="inlineStr">
        <is>
          <t>{{CARGA17_CI_KVA}}</t>
        </is>
      </c>
      <c r="B187" t="inlineStr">
        <is>
          <t>Cargas_24!G18</t>
        </is>
      </c>
    </row>
    <row r="188">
      <c r="A188" t="inlineStr">
        <is>
          <t>{{CARGA18_DESC}}</t>
        </is>
      </c>
      <c r="B188" t="inlineStr">
        <is>
          <t>Cargas_24!B19</t>
        </is>
      </c>
    </row>
    <row r="189">
      <c r="A189" t="inlineStr">
        <is>
          <t>{{CARGA18_P_W}}</t>
        </is>
      </c>
      <c r="B189" t="inlineStr">
        <is>
          <t>Cargas_24!C19</t>
        </is>
      </c>
    </row>
    <row r="190">
      <c r="A190" t="inlineStr">
        <is>
          <t>{{CARGA18_QTD}}</t>
        </is>
      </c>
      <c r="B190" t="inlineStr">
        <is>
          <t>Cargas_24!D19</t>
        </is>
      </c>
    </row>
    <row r="191">
      <c r="A191" t="inlineStr">
        <is>
          <t>{{CARGA18_FP}}</t>
        </is>
      </c>
      <c r="B191" t="inlineStr">
        <is>
          <t>Cargas_24!E19</t>
        </is>
      </c>
    </row>
    <row r="192">
      <c r="A192" t="inlineStr">
        <is>
          <t>{{CARGA18_CI_KW}}</t>
        </is>
      </c>
      <c r="B192" t="inlineStr">
        <is>
          <t>Cargas_24!F19</t>
        </is>
      </c>
    </row>
    <row r="193">
      <c r="A193" t="inlineStr">
        <is>
          <t>{{CARGA18_CI_KVA}}</t>
        </is>
      </c>
      <c r="B193" t="inlineStr">
        <is>
          <t>Cargas_24!G19</t>
        </is>
      </c>
    </row>
    <row r="194">
      <c r="A194" t="inlineStr">
        <is>
          <t>{{CARGA19_DESC}}</t>
        </is>
      </c>
      <c r="B194" t="inlineStr">
        <is>
          <t>Cargas_24!B20</t>
        </is>
      </c>
    </row>
    <row r="195">
      <c r="A195" t="inlineStr">
        <is>
          <t>{{CARGA19_P_W}}</t>
        </is>
      </c>
      <c r="B195" t="inlineStr">
        <is>
          <t>Cargas_24!C20</t>
        </is>
      </c>
    </row>
    <row r="196">
      <c r="A196" t="inlineStr">
        <is>
          <t>{{CARGA19_QTD}}</t>
        </is>
      </c>
      <c r="B196" t="inlineStr">
        <is>
          <t>Cargas_24!D20</t>
        </is>
      </c>
    </row>
    <row r="197">
      <c r="A197" t="inlineStr">
        <is>
          <t>{{CARGA19_FP}}</t>
        </is>
      </c>
      <c r="B197" t="inlineStr">
        <is>
          <t>Cargas_24!E20</t>
        </is>
      </c>
    </row>
    <row r="198">
      <c r="A198" t="inlineStr">
        <is>
          <t>{{CARGA19_CI_KW}}</t>
        </is>
      </c>
      <c r="B198" t="inlineStr">
        <is>
          <t>Cargas_24!F20</t>
        </is>
      </c>
    </row>
    <row r="199">
      <c r="A199" t="inlineStr">
        <is>
          <t>{{CARGA19_CI_KVA}}</t>
        </is>
      </c>
      <c r="B199" t="inlineStr">
        <is>
          <t>Cargas_24!G20</t>
        </is>
      </c>
    </row>
    <row r="200">
      <c r="A200" t="inlineStr">
        <is>
          <t>{{CARGA20_DESC}}</t>
        </is>
      </c>
      <c r="B200" t="inlineStr">
        <is>
          <t>Cargas_24!B21</t>
        </is>
      </c>
    </row>
    <row r="201">
      <c r="A201" t="inlineStr">
        <is>
          <t>{{CARGA20_P_W}}</t>
        </is>
      </c>
      <c r="B201" t="inlineStr">
        <is>
          <t>Cargas_24!C21</t>
        </is>
      </c>
    </row>
    <row r="202">
      <c r="A202" t="inlineStr">
        <is>
          <t>{{CARGA20_QTD}}</t>
        </is>
      </c>
      <c r="B202" t="inlineStr">
        <is>
          <t>Cargas_24!D21</t>
        </is>
      </c>
    </row>
    <row r="203">
      <c r="A203" t="inlineStr">
        <is>
          <t>{{CARGA20_FP}}</t>
        </is>
      </c>
      <c r="B203" t="inlineStr">
        <is>
          <t>Cargas_24!E21</t>
        </is>
      </c>
    </row>
    <row r="204">
      <c r="A204" t="inlineStr">
        <is>
          <t>{{CARGA20_CI_KW}}</t>
        </is>
      </c>
      <c r="B204" t="inlineStr">
        <is>
          <t>Cargas_24!F21</t>
        </is>
      </c>
    </row>
    <row r="205">
      <c r="A205" t="inlineStr">
        <is>
          <t>{{CARGA20_CI_KVA}}</t>
        </is>
      </c>
      <c r="B205" t="inlineStr">
        <is>
          <t>Cargas_24!G21</t>
        </is>
      </c>
    </row>
    <row r="206">
      <c r="A206" t="inlineStr">
        <is>
          <t>{{CARGA21_DESC}}</t>
        </is>
      </c>
      <c r="B206" t="inlineStr">
        <is>
          <t>Cargas_24!B22</t>
        </is>
      </c>
    </row>
    <row r="207">
      <c r="A207" t="inlineStr">
        <is>
          <t>{{CARGA21_P_W}}</t>
        </is>
      </c>
      <c r="B207" t="inlineStr">
        <is>
          <t>Cargas_24!C22</t>
        </is>
      </c>
    </row>
    <row r="208">
      <c r="A208" t="inlineStr">
        <is>
          <t>{{CARGA21_QTD}}</t>
        </is>
      </c>
      <c r="B208" t="inlineStr">
        <is>
          <t>Cargas_24!D22</t>
        </is>
      </c>
    </row>
    <row r="209">
      <c r="A209" t="inlineStr">
        <is>
          <t>{{CARGA21_FP}}</t>
        </is>
      </c>
      <c r="B209" t="inlineStr">
        <is>
          <t>Cargas_24!E22</t>
        </is>
      </c>
    </row>
    <row r="210">
      <c r="A210" t="inlineStr">
        <is>
          <t>{{CARGA21_CI_KW}}</t>
        </is>
      </c>
      <c r="B210" t="inlineStr">
        <is>
          <t>Cargas_24!F22</t>
        </is>
      </c>
    </row>
    <row r="211">
      <c r="A211" t="inlineStr">
        <is>
          <t>{{CARGA21_CI_KVA}}</t>
        </is>
      </c>
      <c r="B211" t="inlineStr">
        <is>
          <t>Cargas_24!G22</t>
        </is>
      </c>
    </row>
    <row r="212">
      <c r="A212" t="inlineStr">
        <is>
          <t>{{CARGA22_DESC}}</t>
        </is>
      </c>
      <c r="B212" t="inlineStr">
        <is>
          <t>Cargas_24!B23</t>
        </is>
      </c>
    </row>
    <row r="213">
      <c r="A213" t="inlineStr">
        <is>
          <t>{{CARGA22_P_W}}</t>
        </is>
      </c>
      <c r="B213" t="inlineStr">
        <is>
          <t>Cargas_24!C23</t>
        </is>
      </c>
    </row>
    <row r="214">
      <c r="A214" t="inlineStr">
        <is>
          <t>{{CARGA22_QTD}}</t>
        </is>
      </c>
      <c r="B214" t="inlineStr">
        <is>
          <t>Cargas_24!D23</t>
        </is>
      </c>
    </row>
    <row r="215">
      <c r="A215" t="inlineStr">
        <is>
          <t>{{CARGA22_FP}}</t>
        </is>
      </c>
      <c r="B215" t="inlineStr">
        <is>
          <t>Cargas_24!E23</t>
        </is>
      </c>
    </row>
    <row r="216">
      <c r="A216" t="inlineStr">
        <is>
          <t>{{CARGA22_CI_KW}}</t>
        </is>
      </c>
      <c r="B216" t="inlineStr">
        <is>
          <t>Cargas_24!F23</t>
        </is>
      </c>
    </row>
    <row r="217">
      <c r="A217" t="inlineStr">
        <is>
          <t>{{CARGA22_CI_KVA}}</t>
        </is>
      </c>
      <c r="B217" t="inlineStr">
        <is>
          <t>Cargas_24!G23</t>
        </is>
      </c>
    </row>
    <row r="218">
      <c r="A218" t="inlineStr">
        <is>
          <t>{{CARGA23_DESC}}</t>
        </is>
      </c>
      <c r="B218" t="inlineStr">
        <is>
          <t>Cargas_24!B24</t>
        </is>
      </c>
    </row>
    <row r="219">
      <c r="A219" t="inlineStr">
        <is>
          <t>{{CARGA23_P_W}}</t>
        </is>
      </c>
      <c r="B219" t="inlineStr">
        <is>
          <t>Cargas_24!C24</t>
        </is>
      </c>
    </row>
    <row r="220">
      <c r="A220" t="inlineStr">
        <is>
          <t>{{CARGA23_QTD}}</t>
        </is>
      </c>
      <c r="B220" t="inlineStr">
        <is>
          <t>Cargas_24!D24</t>
        </is>
      </c>
    </row>
    <row r="221">
      <c r="A221" t="inlineStr">
        <is>
          <t>{{CARGA23_FP}}</t>
        </is>
      </c>
      <c r="B221" t="inlineStr">
        <is>
          <t>Cargas_24!E24</t>
        </is>
      </c>
    </row>
    <row r="222">
      <c r="A222" t="inlineStr">
        <is>
          <t>{{CARGA23_CI_KW}}</t>
        </is>
      </c>
      <c r="B222" t="inlineStr">
        <is>
          <t>Cargas_24!F24</t>
        </is>
      </c>
    </row>
    <row r="223">
      <c r="A223" t="inlineStr">
        <is>
          <t>{{CARGA23_CI_KVA}}</t>
        </is>
      </c>
      <c r="B223" t="inlineStr">
        <is>
          <t>Cargas_24!G24</t>
        </is>
      </c>
    </row>
    <row r="224">
      <c r="A224" t="inlineStr">
        <is>
          <t>{{CARGA24_DESC}}</t>
        </is>
      </c>
      <c r="B224" t="inlineStr">
        <is>
          <t>Cargas_24!B25</t>
        </is>
      </c>
    </row>
    <row r="225">
      <c r="A225" t="inlineStr">
        <is>
          <t>{{CARGA24_P_W}}</t>
        </is>
      </c>
      <c r="B225" t="inlineStr">
        <is>
          <t>Cargas_24!C25</t>
        </is>
      </c>
    </row>
    <row r="226">
      <c r="A226" t="inlineStr">
        <is>
          <t>{{CARGA24_QTD}}</t>
        </is>
      </c>
      <c r="B226" t="inlineStr">
        <is>
          <t>Cargas_24!D25</t>
        </is>
      </c>
    </row>
    <row r="227">
      <c r="A227" t="inlineStr">
        <is>
          <t>{{CARGA24_FP}}</t>
        </is>
      </c>
      <c r="B227" t="inlineStr">
        <is>
          <t>Cargas_24!E25</t>
        </is>
      </c>
    </row>
    <row r="228">
      <c r="A228" t="inlineStr">
        <is>
          <t>{{CARGA24_CI_KW}}</t>
        </is>
      </c>
      <c r="B228" t="inlineStr">
        <is>
          <t>Cargas_24!F25</t>
        </is>
      </c>
    </row>
    <row r="229">
      <c r="A229" t="inlineStr">
        <is>
          <t>{{CARGA24_CI_KVA}}</t>
        </is>
      </c>
      <c r="B229" t="inlineStr">
        <is>
          <t>Cargas_24!G25</t>
        </is>
      </c>
    </row>
    <row r="230">
      <c r="A230" t="inlineStr">
        <is>
          <t>{{CARGA_TOTAL_KW}}</t>
        </is>
      </c>
      <c r="B230" t="inlineStr">
        <is>
          <t>Cargas_24!F26</t>
        </is>
      </c>
    </row>
    <row r="231">
      <c r="A231" t="inlineStr">
        <is>
          <t>{{CARGA_TOTAL_KVA}}</t>
        </is>
      </c>
      <c r="B231" t="inlineStr">
        <is>
          <t>Cargas_24!G26</t>
        </is>
      </c>
    </row>
    <row r="232">
      <c r="A232" t="inlineStr">
        <is>
          <t>{{TIPO_LIGACAO}}</t>
        </is>
      </c>
      <c r="B232" t="inlineStr">
        <is>
          <t>Inputs!B51</t>
        </is>
      </c>
    </row>
    <row r="233">
      <c r="A233" t="inlineStr">
        <is>
          <t>{{CONDUTOR_FASE_MM2}}</t>
        </is>
      </c>
      <c r="B233" t="inlineStr">
        <is>
          <t>Inputs!B52</t>
        </is>
      </c>
    </row>
    <row r="234">
      <c r="A234" t="inlineStr">
        <is>
          <t>{{CONDUTOR_NEUTRO_DESC}}</t>
        </is>
      </c>
      <c r="B234" t="inlineStr">
        <is>
          <t>Inputs!B53</t>
        </is>
      </c>
    </row>
    <row r="235">
      <c r="A235" t="inlineStr">
        <is>
          <t>{{CONCESSIONARIA}}</t>
        </is>
      </c>
      <c r="B235" t="inlineStr">
        <is>
          <t>Inputs!B54</t>
        </is>
      </c>
    </row>
    <row r="236">
      <c r="A236" t="inlineStr">
        <is>
          <t>{{ESTADO}}</t>
        </is>
      </c>
      <c r="B236" t="inlineStr">
        <is>
          <t>Inputs!B55</t>
        </is>
      </c>
    </row>
    <row r="237">
      <c r="A237" t="inlineStr">
        <is>
          <t>{{DISJ_POLOS}}</t>
        </is>
      </c>
      <c r="B237" t="inlineStr">
        <is>
          <t>Inputs!B56</t>
        </is>
      </c>
    </row>
    <row r="238">
      <c r="A238" t="inlineStr">
        <is>
          <t>{{DISJ_CORRENTE_A}}</t>
        </is>
      </c>
      <c r="B238" t="inlineStr">
        <is>
          <t>Inputs!B57</t>
        </is>
      </c>
    </row>
    <row r="239">
      <c r="A239" t="inlineStr">
        <is>
          <t>{{DISJ_TENSAO_V}}</t>
        </is>
      </c>
      <c r="B239" t="inlineStr">
        <is>
          <t>Inputs!B58</t>
        </is>
      </c>
    </row>
    <row r="240">
      <c r="A240" t="inlineStr">
        <is>
          <t>{{MOD_TIPO_CELULA}}</t>
        </is>
      </c>
      <c r="B240" t="inlineStr">
        <is>
          <t>Inputs!B59</t>
        </is>
      </c>
    </row>
    <row r="241">
      <c r="A241" t="inlineStr">
        <is>
          <t>{{MOD_N_CELULAS}}</t>
        </is>
      </c>
      <c r="B241" t="inlineStr">
        <is>
          <t>Inputs!B60</t>
        </is>
      </c>
    </row>
    <row r="242">
      <c r="A242" t="inlineStr">
        <is>
          <t>{{MOD_DIMENSOES}}</t>
        </is>
      </c>
      <c r="B242" t="inlineStr">
        <is>
          <t>Inputs!B61</t>
        </is>
      </c>
    </row>
    <row r="243">
      <c r="A243" t="inlineStr">
        <is>
          <t>{{MOD_PESO_KG}}</t>
        </is>
      </c>
      <c r="B243" t="inlineStr">
        <is>
          <t>Inputs!B62</t>
        </is>
      </c>
    </row>
    <row r="244">
      <c r="A244" t="inlineStr">
        <is>
          <t>{{INV_PCA_MAX_KW}}</t>
        </is>
      </c>
      <c r="B244" t="inlineStr">
        <is>
          <t>Inputs!B63</t>
        </is>
      </c>
    </row>
    <row r="245">
      <c r="A245" t="inlineStr">
        <is>
          <t>{{INV_VCA_MAX}}</t>
        </is>
      </c>
      <c r="B245" t="inlineStr">
        <is>
          <t>Inputs!B64</t>
        </is>
      </c>
    </row>
    <row r="246">
      <c r="A246" t="inlineStr">
        <is>
          <t>{{INV_VCA_MIN}}</t>
        </is>
      </c>
      <c r="B246" t="inlineStr">
        <is>
          <t>Inputs!B65</t>
        </is>
      </c>
    </row>
    <row r="247">
      <c r="A247" t="inlineStr">
        <is>
          <t>{{INV_THD}}</t>
        </is>
      </c>
      <c r="B247" t="inlineStr">
        <is>
          <t>Inputs!B66</t>
        </is>
      </c>
    </row>
    <row r="248">
      <c r="A248" t="inlineStr">
        <is>
          <t>{{GRAFICO_GERACAO}}</t>
        </is>
      </c>
      <c r="B248" t="inlineStr">
        <is>
          <t>GERADO_PELO_SISTEMA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2025-12-15T01:10:13Z</dcterms:created>
  <dcterms:modified xmlns:dcterms="http://purl.org/dc/terms/" xmlns:xsi="http://www.w3.org/2001/XMLSchema-instance" xsi:type="dcterms:W3CDTF">2026-06-12T19:23:16Z</dcterms:modified>
  <cp:lastModifiedBy>Eduardo</cp:lastModifiedBy>
</cp:coreProperties>
</file>