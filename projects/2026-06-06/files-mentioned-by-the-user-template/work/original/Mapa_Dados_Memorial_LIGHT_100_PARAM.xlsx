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uarios\Eduardo\OneDrive\Propostas Energia Solar\Teoria para consulta\Gerador Automatico Memorial 100 por cento parametrizado\"/>
    </mc:Choice>
  </mc:AlternateContent>
  <xr:revisionPtr revIDLastSave="5" documentId="11_104EDD286B35C23095E83CDC7ED8B95A98339EFA" xr6:coauthVersionLast="36" xr6:coauthVersionMax="36" xr10:uidLastSave="{87007066-98E4-4196-8771-EA29C7CEE8B7}"/>
  <bookViews>
    <workbookView xWindow="0" yWindow="0" windowWidth="20490" windowHeight="7425" xr2:uid="{00000000-000D-0000-FFFF-FFFF00000000}"/>
  </bookViews>
  <sheets>
    <sheet name="Inputs" sheetId="1" r:id="rId1"/>
    <sheet name="Consumo_24m" sheetId="2" r:id="rId2"/>
    <sheet name="Cargas_24" sheetId="3" r:id="rId3"/>
    <sheet name="Calculos" sheetId="4" r:id="rId4"/>
    <sheet name="Mapeamento" sheetId="5" r:id="rId5"/>
  </sheets>
  <calcPr calcId="191029"/>
</workbook>
</file>

<file path=xl/calcChain.xml><?xml version="1.0" encoding="utf-8"?>
<calcChain xmlns="http://schemas.openxmlformats.org/spreadsheetml/2006/main">
  <c r="B7" i="4" l="1"/>
  <c r="B6" i="4"/>
  <c r="B9" i="4" s="1"/>
  <c r="B10" i="4" s="1"/>
  <c r="B5" i="4"/>
  <c r="B4" i="4"/>
  <c r="B8" i="4" s="1"/>
  <c r="B3" i="4"/>
  <c r="B2" i="4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F2" i="3"/>
  <c r="G2" i="3" s="1"/>
  <c r="B27" i="2"/>
  <c r="B26" i="2"/>
  <c r="G26" i="3" l="1"/>
  <c r="F26" i="3"/>
</calcChain>
</file>

<file path=xl/sharedStrings.xml><?xml version="1.0" encoding="utf-8"?>
<sst xmlns="http://schemas.openxmlformats.org/spreadsheetml/2006/main" count="561" uniqueCount="558">
  <si>
    <t>CHAVE</t>
  </si>
  <si>
    <t>VALOR</t>
  </si>
  <si>
    <t>CLIENTE_NOME</t>
  </si>
  <si>
    <t>CLIENTE_ENDERECO_LOGRADOURO</t>
  </si>
  <si>
    <t>CLIENTE_BAIRRO_MUN_UF_CEP</t>
  </si>
  <si>
    <t>LOCAL_CIDADE_UF</t>
  </si>
  <si>
    <t>MES</t>
  </si>
  <si>
    <t>ANO</t>
  </si>
  <si>
    <t>UC_CONTA_CONTRATO</t>
  </si>
  <si>
    <t>UC_CLASSE</t>
  </si>
  <si>
    <t>B1</t>
  </si>
  <si>
    <t>COORD_SUL</t>
  </si>
  <si>
    <t>COORD_OESTE</t>
  </si>
  <si>
    <t>FV_POT_KWP</t>
  </si>
  <si>
    <t>MOD_MARCA</t>
  </si>
  <si>
    <t>MOD_MODELO</t>
  </si>
  <si>
    <t>MOD_QTD</t>
  </si>
  <si>
    <t>MOD_WP</t>
  </si>
  <si>
    <t>MOD_EFIC</t>
  </si>
  <si>
    <t>MOD_VMP</t>
  </si>
  <si>
    <t>MOD_IMP</t>
  </si>
  <si>
    <t>MOD_VOC</t>
  </si>
  <si>
    <t>MOD_ISC</t>
  </si>
  <si>
    <t>MOD_VSYS_MAX</t>
  </si>
  <si>
    <t>MOD_FUSIVEL_MAX</t>
  </si>
  <si>
    <t>INV_MARCA</t>
  </si>
  <si>
    <t>INV_MODELO</t>
  </si>
  <si>
    <t>INV_QTD</t>
  </si>
  <si>
    <t>INV_PN_KW</t>
  </si>
  <si>
    <t>INV_PMAXCC_KW</t>
  </si>
  <si>
    <t>INV_VCC_MAX</t>
  </si>
  <si>
    <t>INV_ICC_MAX</t>
  </si>
  <si>
    <t>INV_VMPPT_MAX</t>
  </si>
  <si>
    <t>INV_VMPPT_MIN</t>
  </si>
  <si>
    <t>INV_VSTART</t>
  </si>
  <si>
    <t>INV_STRINGS</t>
  </si>
  <si>
    <t>INV_MPPTS</t>
  </si>
  <si>
    <t>INV_PCA_KW</t>
  </si>
  <si>
    <t>INV_IMAX_CA</t>
  </si>
  <si>
    <t>INV_VAC_NOM</t>
  </si>
  <si>
    <t>INV_FN</t>
  </si>
  <si>
    <t>INV_FP</t>
  </si>
  <si>
    <t>INV_CONEXAO</t>
  </si>
  <si>
    <t>INV_EFIC_MAX</t>
  </si>
  <si>
    <t>DIST_CC_M</t>
  </si>
  <si>
    <t>DIST_CA_M</t>
  </si>
  <si>
    <t>BITOLA_CC_MM2</t>
  </si>
  <si>
    <t>BITOLA_CA_MM2</t>
  </si>
  <si>
    <t>PROT_CC</t>
  </si>
  <si>
    <t>PROT_CA</t>
  </si>
  <si>
    <t>R_CC_OHMKM</t>
  </si>
  <si>
    <t>R_CA_OHMKM</t>
  </si>
  <si>
    <t>CONSUMO_KWH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</si>
  <si>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</si>
  <si>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</si>
  <si>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</si>
  <si>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</si>
  <si>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</si>
  <si>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</si>
  <si>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</si>
  <si>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</si>
  <si>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</si>
  <si>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</si>
  <si>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</si>
  <si>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</si>
  <si>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</si>
  <si>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</si>
  <si>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</si>
  <si>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</si>
  <si>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</si>
  <si>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</si>
  <si>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</si>
  <si>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</si>
  <si>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</si>
  <si>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</si>
  <si>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</si>
  <si>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</si>
  <si>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TOTAL</t>
  </si>
  <si>
    <t>MÉDIA</t>
  </si>
  <si>
    <t>ITEM</t>
  </si>
  <si>
    <t>DESCRICAO</t>
  </si>
  <si>
    <t>P_W</t>
  </si>
  <si>
    <t>QTD</t>
  </si>
  <si>
    <t>FP</t>
  </si>
  <si>
    <t>CI_KW</t>
  </si>
  <si>
    <t>CI_KVA</t>
  </si>
  <si>
    <t>VAR</t>
  </si>
  <si>
    <t>FV_POT_STC_KWP</t>
  </si>
  <si>
    <t>FV_POT_VI_W</t>
  </si>
  <si>
    <t>VCC_NOM</t>
  </si>
  <si>
    <t>ICC_MAX</t>
  </si>
  <si>
    <t>IAC_MAX</t>
  </si>
  <si>
    <t>DV_CC_V</t>
  </si>
  <si>
    <t>DV_CC_PERC</t>
  </si>
  <si>
    <t>DV_CA_V</t>
  </si>
  <si>
    <t>DV_CA_PERC</t>
  </si>
  <si>
    <t>PLACEHOLDER</t>
  </si>
  <si>
    <t>ORIGEM</t>
  </si>
  <si>
    <t>{{CLIENTE_NOME}}</t>
  </si>
  <si>
    <t>Inputs!B2</t>
  </si>
  <si>
    <t>{{CLIENTE_ENDERECO_LOGRADOURO}}</t>
  </si>
  <si>
    <t>Inputs!B3</t>
  </si>
  <si>
    <t>{{CLIENTE_BAIRRO_MUN_UF_CEP}}</t>
  </si>
  <si>
    <t>Inputs!B4</t>
  </si>
  <si>
    <t>{{LOCAL_CIDADE_UF}}</t>
  </si>
  <si>
    <t>Inputs!B5</t>
  </si>
  <si>
    <t>{{MES}}</t>
  </si>
  <si>
    <t>Inputs!B6</t>
  </si>
  <si>
    <t>{{ANO}}</t>
  </si>
  <si>
    <t>Inputs!B7</t>
  </si>
  <si>
    <t>{{UC_CONTA_CONTRATO}}</t>
  </si>
  <si>
    <t>Inputs!B8</t>
  </si>
  <si>
    <t>{{UC_CLASSE}}</t>
  </si>
  <si>
    <t>Inputs!B9</t>
  </si>
  <si>
    <t>{{COORD_SUL}}</t>
  </si>
  <si>
    <t>Inputs!B10</t>
  </si>
  <si>
    <t>{{COORD_OESTE}}</t>
  </si>
  <si>
    <t>Inputs!B11</t>
  </si>
  <si>
    <t>{{FV_POT_KWP}}</t>
  </si>
  <si>
    <t>Inputs!B12</t>
  </si>
  <si>
    <t>{{MOD_MARCA}}</t>
  </si>
  <si>
    <t>Inputs!B13</t>
  </si>
  <si>
    <t>{{MOD_MODELO}}</t>
  </si>
  <si>
    <t>Inputs!B14</t>
  </si>
  <si>
    <t>{{MOD_QTD}}</t>
  </si>
  <si>
    <t>Inputs!B15</t>
  </si>
  <si>
    <t>{{MOD_WP}}</t>
  </si>
  <si>
    <t>Inputs!B16</t>
  </si>
  <si>
    <t>{{MOD_EFIC}}</t>
  </si>
  <si>
    <t>Inputs!B17</t>
  </si>
  <si>
    <t>{{MOD_VMP}}</t>
  </si>
  <si>
    <t>Inputs!B18</t>
  </si>
  <si>
    <t>{{MOD_IMP}}</t>
  </si>
  <si>
    <t>Inputs!B19</t>
  </si>
  <si>
    <t>{{MOD_VOC}}</t>
  </si>
  <si>
    <t>Inputs!B20</t>
  </si>
  <si>
    <t>{{MOD_ISC}}</t>
  </si>
  <si>
    <t>Inputs!B21</t>
  </si>
  <si>
    <t>{{MOD_VSYS_MAX}}</t>
  </si>
  <si>
    <t>Inputs!B22</t>
  </si>
  <si>
    <t>{{MOD_FUSIVEL_MAX}}</t>
  </si>
  <si>
    <t>Inputs!B23</t>
  </si>
  <si>
    <t>{{INV_MARCA}}</t>
  </si>
  <si>
    <t>Inputs!B24</t>
  </si>
  <si>
    <t>{{INV_MODELO}}</t>
  </si>
  <si>
    <t>Inputs!B25</t>
  </si>
  <si>
    <t>{{INV_QTD}}</t>
  </si>
  <si>
    <t>Inputs!B26</t>
  </si>
  <si>
    <t>{{INV_PN_KW}}</t>
  </si>
  <si>
    <t>Inputs!B27</t>
  </si>
  <si>
    <t>{{INV_PMAXCC_KW}}</t>
  </si>
  <si>
    <t>Inputs!B28</t>
  </si>
  <si>
    <t>{{INV_VCC_MAX}}</t>
  </si>
  <si>
    <t>Inputs!B29</t>
  </si>
  <si>
    <t>{{INV_ICC_MAX}}</t>
  </si>
  <si>
    <t>Inputs!B30</t>
  </si>
  <si>
    <t>{{INV_VMPPT_MAX}}</t>
  </si>
  <si>
    <t>Inputs!B31</t>
  </si>
  <si>
    <t>{{INV_VMPPT_MIN}}</t>
  </si>
  <si>
    <t>Inputs!B32</t>
  </si>
  <si>
    <t>{{INV_VSTART}}</t>
  </si>
  <si>
    <t>Inputs!B33</t>
  </si>
  <si>
    <t>{{INV_STRINGS}}</t>
  </si>
  <si>
    <t>Inputs!B34</t>
  </si>
  <si>
    <t>{{INV_MPPTS}}</t>
  </si>
  <si>
    <t>Inputs!B35</t>
  </si>
  <si>
    <t>{{INV_PCA_KW}}</t>
  </si>
  <si>
    <t>Inputs!B36</t>
  </si>
  <si>
    <t>{{INV_IMAX_CA}}</t>
  </si>
  <si>
    <t>Inputs!B37</t>
  </si>
  <si>
    <t>{{INV_VAC_NOM}}</t>
  </si>
  <si>
    <t>Inputs!B38</t>
  </si>
  <si>
    <t>{{INV_FN}}</t>
  </si>
  <si>
    <t>Inputs!B39</t>
  </si>
  <si>
    <t>{{INV_FP}}</t>
  </si>
  <si>
    <t>Inputs!B40</t>
  </si>
  <si>
    <t>{{INV_CONEXAO}}</t>
  </si>
  <si>
    <t>Inputs!B41</t>
  </si>
  <si>
    <t>{{INV_EFIC_MAX}}</t>
  </si>
  <si>
    <t>Inputs!B42</t>
  </si>
  <si>
    <t>{{DIST_CC_M}}</t>
  </si>
  <si>
    <t>Inputs!B43</t>
  </si>
  <si>
    <t>{{DIST_CA_M}}</t>
  </si>
  <si>
    <t>Inputs!B44</t>
  </si>
  <si>
    <t>{{BITOLA_CC_MM2}}</t>
  </si>
  <si>
    <t>Inputs!B45</t>
  </si>
  <si>
    <t>{{BITOLA_CA_MM2}}</t>
  </si>
  <si>
    <t>Inputs!B46</t>
  </si>
  <si>
    <t>{{PROT_CC}}</t>
  </si>
  <si>
    <t>Inputs!B47</t>
  </si>
  <si>
    <t>{{PROT_CA}}</t>
  </si>
  <si>
    <t>Inputs!B48</t>
  </si>
  <si>
    <t>{{R_CC_OHMKM}}</t>
  </si>
  <si>
    <t>Inputs!B49</t>
  </si>
  <si>
    <t>{{R_CA_OHMKM}}</t>
  </si>
  <si>
    <t>Inputs!B50</t>
  </si>
  <si>
    <t>{{FV_POT_STC_KWP}}</t>
  </si>
  <si>
    <t>Calculos!B2</t>
  </si>
  <si>
    <t>{{FV_POT_VI_W}}</t>
  </si>
  <si>
    <t>Calculos!B3</t>
  </si>
  <si>
    <t>{{VCC_NOM}}</t>
  </si>
  <si>
    <t>Calculos!B4</t>
  </si>
  <si>
    <t>{{ICC_MAX}}</t>
  </si>
  <si>
    <t>Calculos!B5</t>
  </si>
  <si>
    <t>{{IAC_MAX}}</t>
  </si>
  <si>
    <t>Calculos!B6</t>
  </si>
  <si>
    <t>{{DV_CC_V}}</t>
  </si>
  <si>
    <t>Calculos!B7</t>
  </si>
  <si>
    <t>{{DV_CC_PERC}}</t>
  </si>
  <si>
    <t>Calculos!B8</t>
  </si>
  <si>
    <t>{{DV_CA_V}}</t>
  </si>
  <si>
    <t>Calculos!B9</t>
  </si>
  <si>
    <t>{{DV_CA_PERC}}</t>
  </si>
  <si>
    <t>Calculos!B10</t>
  </si>
  <si>
    <t>{{CONS_MES1}}</t>
  </si>
  <si>
    <t>Consumo_24m!B2</t>
  </si>
  <si>
    <t>{{CONS_MES2}}</t>
  </si>
  <si>
    <t>Consumo_24m!B3</t>
  </si>
  <si>
    <t>{{CONS_MES3}}</t>
  </si>
  <si>
    <t>Consumo_24m!B4</t>
  </si>
  <si>
    <t>{{CONS_MES4}}</t>
  </si>
  <si>
    <t>Consumo_24m!B5</t>
  </si>
  <si>
    <t>{{CONS_MES5}}</t>
  </si>
  <si>
    <t>Consumo_24m!B6</t>
  </si>
  <si>
    <t>{{CONS_MES6}}</t>
  </si>
  <si>
    <t>Consumo_24m!B7</t>
  </si>
  <si>
    <t>{{CONS_MES7}}</t>
  </si>
  <si>
    <t>Consumo_24m!B8</t>
  </si>
  <si>
    <t>{{CONS_MES8}}</t>
  </si>
  <si>
    <t>Consumo_24m!B9</t>
  </si>
  <si>
    <t>{{CONS_MES9}}</t>
  </si>
  <si>
    <t>Consumo_24m!B10</t>
  </si>
  <si>
    <t>{{CONS_MES10}}</t>
  </si>
  <si>
    <t>Consumo_24m!B11</t>
  </si>
  <si>
    <t>{{CONS_MES11}}</t>
  </si>
  <si>
    <t>Consumo_24m!B12</t>
  </si>
  <si>
    <t>{{CONS_MES12}}</t>
  </si>
  <si>
    <t>Consumo_24m!B13</t>
  </si>
  <si>
    <t>{{CONS_MES13}}</t>
  </si>
  <si>
    <t>Consumo_24m!B14</t>
  </si>
  <si>
    <t>{{CONS_MES14}}</t>
  </si>
  <si>
    <t>Consumo_24m!B15</t>
  </si>
  <si>
    <t>{{CONS_MES15}}</t>
  </si>
  <si>
    <t>Consumo_24m!B16</t>
  </si>
  <si>
    <t>{{CONS_MES16}}</t>
  </si>
  <si>
    <t>Consumo_24m!B17</t>
  </si>
  <si>
    <t>{{CONS_MES17}}</t>
  </si>
  <si>
    <t>Consumo_24m!B18</t>
  </si>
  <si>
    <t>{{CONS_MES18}}</t>
  </si>
  <si>
    <t>Consumo_24m!B19</t>
  </si>
  <si>
    <t>{{CONS_MES19}}</t>
  </si>
  <si>
    <t>Consumo_24m!B20</t>
  </si>
  <si>
    <t>{{CONS_MES20}}</t>
  </si>
  <si>
    <t>Consumo_24m!B21</t>
  </si>
  <si>
    <t>{{CONS_MES21}}</t>
  </si>
  <si>
    <t>Consumo_24m!B22</t>
  </si>
  <si>
    <t>{{CONS_MES22}}</t>
  </si>
  <si>
    <t>Consumo_24m!B23</t>
  </si>
  <si>
    <t>{{CONS_MES23}}</t>
  </si>
  <si>
    <t>Consumo_24m!B24</t>
  </si>
  <si>
    <t>{{CONS_MES24}}</t>
  </si>
  <si>
    <t>Consumo_24m!B25</t>
  </si>
  <si>
    <t>{{CONS_TOTAL}}</t>
  </si>
  <si>
    <t>Consumo_24m!B26</t>
  </si>
  <si>
    <t>{{CONS_MEDIA}}</t>
  </si>
  <si>
    <t>Consumo_24m!B27</t>
  </si>
  <si>
    <t>{{CARGA1_DESC}}</t>
  </si>
  <si>
    <t>Cargas_24!B2</t>
  </si>
  <si>
    <t>{{CARGA1_P_W}}</t>
  </si>
  <si>
    <t>Cargas_24!C2</t>
  </si>
  <si>
    <t>{{CARGA1_QTD}}</t>
  </si>
  <si>
    <t>Cargas_24!D2</t>
  </si>
  <si>
    <t>{{CARGA1_FP}}</t>
  </si>
  <si>
    <t>Cargas_24!E2</t>
  </si>
  <si>
    <t>{{CARGA1_CI_KW}}</t>
  </si>
  <si>
    <t>Cargas_24!F2</t>
  </si>
  <si>
    <t>{{CARGA1_CI_KVA}}</t>
  </si>
  <si>
    <t>Cargas_24!G2</t>
  </si>
  <si>
    <t>{{CARGA2_DESC}}</t>
  </si>
  <si>
    <t>Cargas_24!B3</t>
  </si>
  <si>
    <t>{{CARGA2_P_W}}</t>
  </si>
  <si>
    <t>Cargas_24!C3</t>
  </si>
  <si>
    <t>{{CARGA2_QTD}}</t>
  </si>
  <si>
    <t>Cargas_24!D3</t>
  </si>
  <si>
    <t>{{CARGA2_FP}}</t>
  </si>
  <si>
    <t>Cargas_24!E3</t>
  </si>
  <si>
    <t>{{CARGA2_CI_KW}}</t>
  </si>
  <si>
    <t>Cargas_24!F3</t>
  </si>
  <si>
    <t>{{CARGA2_CI_KVA}}</t>
  </si>
  <si>
    <t>Cargas_24!G3</t>
  </si>
  <si>
    <t>{{CARGA3_DESC}}</t>
  </si>
  <si>
    <t>Cargas_24!B4</t>
  </si>
  <si>
    <t>{{CARGA3_P_W}}</t>
  </si>
  <si>
    <t>Cargas_24!C4</t>
  </si>
  <si>
    <t>{{CARGA3_QTD}}</t>
  </si>
  <si>
    <t>Cargas_24!D4</t>
  </si>
  <si>
    <t>{{CARGA3_FP}}</t>
  </si>
  <si>
    <t>Cargas_24!E4</t>
  </si>
  <si>
    <t>{{CARGA3_CI_KW}}</t>
  </si>
  <si>
    <t>Cargas_24!F4</t>
  </si>
  <si>
    <t>{{CARGA3_CI_KVA}}</t>
  </si>
  <si>
    <t>Cargas_24!G4</t>
  </si>
  <si>
    <t>{{CARGA4_DESC}}</t>
  </si>
  <si>
    <t>Cargas_24!B5</t>
  </si>
  <si>
    <t>{{CARGA4_P_W}}</t>
  </si>
  <si>
    <t>Cargas_24!C5</t>
  </si>
  <si>
    <t>{{CARGA4_QTD}}</t>
  </si>
  <si>
    <t>Cargas_24!D5</t>
  </si>
  <si>
    <t>{{CARGA4_FP}}</t>
  </si>
  <si>
    <t>Cargas_24!E5</t>
  </si>
  <si>
    <t>{{CARGA4_CI_KW}}</t>
  </si>
  <si>
    <t>Cargas_24!F5</t>
  </si>
  <si>
    <t>{{CARGA4_CI_KVA}}</t>
  </si>
  <si>
    <t>Cargas_24!G5</t>
  </si>
  <si>
    <t>{{CARGA5_DESC}}</t>
  </si>
  <si>
    <t>Cargas_24!B6</t>
  </si>
  <si>
    <t>{{CARGA5_P_W}}</t>
  </si>
  <si>
    <t>Cargas_24!C6</t>
  </si>
  <si>
    <t>{{CARGA5_QTD}}</t>
  </si>
  <si>
    <t>Cargas_24!D6</t>
  </si>
  <si>
    <t>{{CARGA5_FP}}</t>
  </si>
  <si>
    <t>Cargas_24!E6</t>
  </si>
  <si>
    <t>{{CARGA5_CI_KW}}</t>
  </si>
  <si>
    <t>Cargas_24!F6</t>
  </si>
  <si>
    <t>{{CARGA5_CI_KVA}}</t>
  </si>
  <si>
    <t>Cargas_24!G6</t>
  </si>
  <si>
    <t>{{CARGA6_DESC}}</t>
  </si>
  <si>
    <t>Cargas_24!B7</t>
  </si>
  <si>
    <t>{{CARGA6_P_W}}</t>
  </si>
  <si>
    <t>Cargas_24!C7</t>
  </si>
  <si>
    <t>{{CARGA6_QTD}}</t>
  </si>
  <si>
    <t>Cargas_24!D7</t>
  </si>
  <si>
    <t>{{CARGA6_FP}}</t>
  </si>
  <si>
    <t>Cargas_24!E7</t>
  </si>
  <si>
    <t>{{CARGA6_CI_KW}}</t>
  </si>
  <si>
    <t>Cargas_24!F7</t>
  </si>
  <si>
    <t>{{CARGA6_CI_KVA}}</t>
  </si>
  <si>
    <t>Cargas_24!G7</t>
  </si>
  <si>
    <t>{{CARGA7_DESC}}</t>
  </si>
  <si>
    <t>Cargas_24!B8</t>
  </si>
  <si>
    <t>{{CARGA7_P_W}}</t>
  </si>
  <si>
    <t>Cargas_24!C8</t>
  </si>
  <si>
    <t>{{CARGA7_QTD}}</t>
  </si>
  <si>
    <t>Cargas_24!D8</t>
  </si>
  <si>
    <t>{{CARGA7_FP}}</t>
  </si>
  <si>
    <t>Cargas_24!E8</t>
  </si>
  <si>
    <t>{{CARGA7_CI_KW}}</t>
  </si>
  <si>
    <t>Cargas_24!F8</t>
  </si>
  <si>
    <t>{{CARGA7_CI_KVA}}</t>
  </si>
  <si>
    <t>Cargas_24!G8</t>
  </si>
  <si>
    <t>{{CARGA8_DESC}}</t>
  </si>
  <si>
    <t>Cargas_24!B9</t>
  </si>
  <si>
    <t>{{CARGA8_P_W}}</t>
  </si>
  <si>
    <t>Cargas_24!C9</t>
  </si>
  <si>
    <t>{{CARGA8_QTD}}</t>
  </si>
  <si>
    <t>Cargas_24!D9</t>
  </si>
  <si>
    <t>{{CARGA8_FP}}</t>
  </si>
  <si>
    <t>Cargas_24!E9</t>
  </si>
  <si>
    <t>{{CARGA8_CI_KW}}</t>
  </si>
  <si>
    <t>Cargas_24!F9</t>
  </si>
  <si>
    <t>{{CARGA8_CI_KVA}}</t>
  </si>
  <si>
    <t>Cargas_24!G9</t>
  </si>
  <si>
    <t>{{CARGA9_DESC}}</t>
  </si>
  <si>
    <t>Cargas_24!B10</t>
  </si>
  <si>
    <t>{{CARGA9_P_W}}</t>
  </si>
  <si>
    <t>Cargas_24!C10</t>
  </si>
  <si>
    <t>{{CARGA9_QTD}}</t>
  </si>
  <si>
    <t>Cargas_24!D10</t>
  </si>
  <si>
    <t>{{CARGA9_FP}}</t>
  </si>
  <si>
    <t>Cargas_24!E10</t>
  </si>
  <si>
    <t>{{CARGA9_CI_KW}}</t>
  </si>
  <si>
    <t>Cargas_24!F10</t>
  </si>
  <si>
    <t>{{CARGA9_CI_KVA}}</t>
  </si>
  <si>
    <t>Cargas_24!G10</t>
  </si>
  <si>
    <t>{{CARGA10_DESC}}</t>
  </si>
  <si>
    <t>Cargas_24!B11</t>
  </si>
  <si>
    <t>{{CARGA10_P_W}}</t>
  </si>
  <si>
    <t>Cargas_24!C11</t>
  </si>
  <si>
    <t>{{CARGA10_QTD}}</t>
  </si>
  <si>
    <t>Cargas_24!D11</t>
  </si>
  <si>
    <t>{{CARGA10_FP}}</t>
  </si>
  <si>
    <t>Cargas_24!E11</t>
  </si>
  <si>
    <t>{{CARGA10_CI_KW}}</t>
  </si>
  <si>
    <t>Cargas_24!F11</t>
  </si>
  <si>
    <t>{{CARGA10_CI_KVA}}</t>
  </si>
  <si>
    <t>Cargas_24!G11</t>
  </si>
  <si>
    <t>{{CARGA11_DESC}}</t>
  </si>
  <si>
    <t>Cargas_24!B12</t>
  </si>
  <si>
    <t>{{CARGA11_P_W}}</t>
  </si>
  <si>
    <t>Cargas_24!C12</t>
  </si>
  <si>
    <t>{{CARGA11_QTD}}</t>
  </si>
  <si>
    <t>Cargas_24!D12</t>
  </si>
  <si>
    <t>{{CARGA11_FP}}</t>
  </si>
  <si>
    <t>Cargas_24!E12</t>
  </si>
  <si>
    <t>{{CARGA11_CI_KW}}</t>
  </si>
  <si>
    <t>Cargas_24!F12</t>
  </si>
  <si>
    <t>{{CARGA11_CI_KVA}}</t>
  </si>
  <si>
    <t>Cargas_24!G12</t>
  </si>
  <si>
    <t>{{CARGA12_DESC}}</t>
  </si>
  <si>
    <t>Cargas_24!B13</t>
  </si>
  <si>
    <t>{{CARGA12_P_W}}</t>
  </si>
  <si>
    <t>Cargas_24!C13</t>
  </si>
  <si>
    <t>{{CARGA12_QTD}}</t>
  </si>
  <si>
    <t>Cargas_24!D13</t>
  </si>
  <si>
    <t>{{CARGA12_FP}}</t>
  </si>
  <si>
    <t>Cargas_24!E13</t>
  </si>
  <si>
    <t>{{CARGA12_CI_KW}}</t>
  </si>
  <si>
    <t>Cargas_24!F13</t>
  </si>
  <si>
    <t>{{CARGA12_CI_KVA}}</t>
  </si>
  <si>
    <t>Cargas_24!G13</t>
  </si>
  <si>
    <t>{{CARGA13_DESC}}</t>
  </si>
  <si>
    <t>Cargas_24!B14</t>
  </si>
  <si>
    <t>{{CARGA13_P_W}}</t>
  </si>
  <si>
    <t>Cargas_24!C14</t>
  </si>
  <si>
    <t>{{CARGA13_QTD}}</t>
  </si>
  <si>
    <t>Cargas_24!D14</t>
  </si>
  <si>
    <t>{{CARGA13_FP}}</t>
  </si>
  <si>
    <t>Cargas_24!E14</t>
  </si>
  <si>
    <t>{{CARGA13_CI_KW}}</t>
  </si>
  <si>
    <t>Cargas_24!F14</t>
  </si>
  <si>
    <t>{{CARGA13_CI_KVA}}</t>
  </si>
  <si>
    <t>Cargas_24!G14</t>
  </si>
  <si>
    <t>{{CARGA14_DESC}}</t>
  </si>
  <si>
    <t>Cargas_24!B15</t>
  </si>
  <si>
    <t>{{CARGA14_P_W}}</t>
  </si>
  <si>
    <t>Cargas_24!C15</t>
  </si>
  <si>
    <t>{{CARGA14_QTD}}</t>
  </si>
  <si>
    <t>Cargas_24!D15</t>
  </si>
  <si>
    <t>{{CARGA14_FP}}</t>
  </si>
  <si>
    <t>Cargas_24!E15</t>
  </si>
  <si>
    <t>{{CARGA14_CI_KW}}</t>
  </si>
  <si>
    <t>Cargas_24!F15</t>
  </si>
  <si>
    <t>{{CARGA14_CI_KVA}}</t>
  </si>
  <si>
    <t>Cargas_24!G15</t>
  </si>
  <si>
    <t>{{CARGA15_DESC}}</t>
  </si>
  <si>
    <t>Cargas_24!B16</t>
  </si>
  <si>
    <t>{{CARGA15_P_W}}</t>
  </si>
  <si>
    <t>Cargas_24!C16</t>
  </si>
  <si>
    <t>{{CARGA15_QTD}}</t>
  </si>
  <si>
    <t>Cargas_24!D16</t>
  </si>
  <si>
    <t>{{CARGA15_FP}}</t>
  </si>
  <si>
    <t>Cargas_24!E16</t>
  </si>
  <si>
    <t>{{CARGA15_CI_KW}}</t>
  </si>
  <si>
    <t>Cargas_24!F16</t>
  </si>
  <si>
    <t>{{CARGA15_CI_KVA}}</t>
  </si>
  <si>
    <t>Cargas_24!G16</t>
  </si>
  <si>
    <t>{{CARGA16_DESC}}</t>
  </si>
  <si>
    <t>Cargas_24!B17</t>
  </si>
  <si>
    <t>{{CARGA16_P_W}}</t>
  </si>
  <si>
    <t>Cargas_24!C17</t>
  </si>
  <si>
    <t>{{CARGA16_QTD}}</t>
  </si>
  <si>
    <t>Cargas_24!D17</t>
  </si>
  <si>
    <t>{{CARGA16_FP}}</t>
  </si>
  <si>
    <t>Cargas_24!E17</t>
  </si>
  <si>
    <t>{{CARGA16_CI_KW}}</t>
  </si>
  <si>
    <t>Cargas_24!F17</t>
  </si>
  <si>
    <t>{{CARGA16_CI_KVA}}</t>
  </si>
  <si>
    <t>Cargas_24!G17</t>
  </si>
  <si>
    <t>{{CARGA17_DESC}}</t>
  </si>
  <si>
    <t>Cargas_24!B18</t>
  </si>
  <si>
    <t>{{CARGA17_P_W}}</t>
  </si>
  <si>
    <t>Cargas_24!C18</t>
  </si>
  <si>
    <t>{{CARGA17_QTD}}</t>
  </si>
  <si>
    <t>Cargas_24!D18</t>
  </si>
  <si>
    <t>{{CARGA17_FP}}</t>
  </si>
  <si>
    <t>Cargas_24!E18</t>
  </si>
  <si>
    <t>{{CARGA17_CI_KW}}</t>
  </si>
  <si>
    <t>Cargas_24!F18</t>
  </si>
  <si>
    <t>{{CARGA17_CI_KVA}}</t>
  </si>
  <si>
    <t>Cargas_24!G18</t>
  </si>
  <si>
    <t>{{CARGA18_DESC}}</t>
  </si>
  <si>
    <t>Cargas_24!B19</t>
  </si>
  <si>
    <t>{{CARGA18_P_W}}</t>
  </si>
  <si>
    <t>Cargas_24!C19</t>
  </si>
  <si>
    <t>{{CARGA18_QTD}}</t>
  </si>
  <si>
    <t>Cargas_24!D19</t>
  </si>
  <si>
    <t>{{CARGA18_FP}}</t>
  </si>
  <si>
    <t>Cargas_24!E19</t>
  </si>
  <si>
    <t>{{CARGA18_CI_KW}}</t>
  </si>
  <si>
    <t>Cargas_24!F19</t>
  </si>
  <si>
    <t>{{CARGA18_CI_KVA}}</t>
  </si>
  <si>
    <t>Cargas_24!G19</t>
  </si>
  <si>
    <t>{{CARGA19_DESC}}</t>
  </si>
  <si>
    <t>Cargas_24!B20</t>
  </si>
  <si>
    <t>{{CARGA19_P_W}}</t>
  </si>
  <si>
    <t>Cargas_24!C20</t>
  </si>
  <si>
    <t>{{CARGA19_QTD}}</t>
  </si>
  <si>
    <t>Cargas_24!D20</t>
  </si>
  <si>
    <t>{{CARGA19_FP}}</t>
  </si>
  <si>
    <t>Cargas_24!E20</t>
  </si>
  <si>
    <t>{{CARGA19_CI_KW}}</t>
  </si>
  <si>
    <t>Cargas_24!F20</t>
  </si>
  <si>
    <t>{{CARGA19_CI_KVA}}</t>
  </si>
  <si>
    <t>Cargas_24!G20</t>
  </si>
  <si>
    <t>{{CARGA20_DESC}}</t>
  </si>
  <si>
    <t>Cargas_24!B21</t>
  </si>
  <si>
    <t>{{CARGA20_P_W}}</t>
  </si>
  <si>
    <t>Cargas_24!C21</t>
  </si>
  <si>
    <t>{{CARGA20_QTD}}</t>
  </si>
  <si>
    <t>Cargas_24!D21</t>
  </si>
  <si>
    <t>{{CARGA20_FP}}</t>
  </si>
  <si>
    <t>Cargas_24!E21</t>
  </si>
  <si>
    <t>{{CARGA20_CI_KW}}</t>
  </si>
  <si>
    <t>Cargas_24!F21</t>
  </si>
  <si>
    <t>{{CARGA20_CI_KVA}}</t>
  </si>
  <si>
    <t>Cargas_24!G21</t>
  </si>
  <si>
    <t>{{CARGA21_DESC}}</t>
  </si>
  <si>
    <t>Cargas_24!B22</t>
  </si>
  <si>
    <t>{{CARGA21_P_W}}</t>
  </si>
  <si>
    <t>Cargas_24!C22</t>
  </si>
  <si>
    <t>{{CARGA21_QTD}}</t>
  </si>
  <si>
    <t>Cargas_24!D22</t>
  </si>
  <si>
    <t>{{CARGA21_FP}}</t>
  </si>
  <si>
    <t>Cargas_24!E22</t>
  </si>
  <si>
    <t>{{CARGA21_CI_KW}}</t>
  </si>
  <si>
    <t>Cargas_24!F22</t>
  </si>
  <si>
    <t>{{CARGA21_CI_KVA}}</t>
  </si>
  <si>
    <t>Cargas_24!G22</t>
  </si>
  <si>
    <t>{{CARGA22_DESC}}</t>
  </si>
  <si>
    <t>Cargas_24!B23</t>
  </si>
  <si>
    <t>{{CARGA22_P_W}}</t>
  </si>
  <si>
    <t>Cargas_24!C23</t>
  </si>
  <si>
    <t>{{CARGA22_QTD}}</t>
  </si>
  <si>
    <t>Cargas_24!D23</t>
  </si>
  <si>
    <t>{{CARGA22_FP}}</t>
  </si>
  <si>
    <t>Cargas_24!E23</t>
  </si>
  <si>
    <t>{{CARGA22_CI_KW}}</t>
  </si>
  <si>
    <t>Cargas_24!F23</t>
  </si>
  <si>
    <t>{{CARGA22_CI_KVA}}</t>
  </si>
  <si>
    <t>Cargas_24!G23</t>
  </si>
  <si>
    <t>{{CARGA23_DESC}}</t>
  </si>
  <si>
    <t>Cargas_24!B24</t>
  </si>
  <si>
    <t>{{CARGA23_P_W}}</t>
  </si>
  <si>
    <t>Cargas_24!C24</t>
  </si>
  <si>
    <t>{{CARGA23_QTD}}</t>
  </si>
  <si>
    <t>Cargas_24!D24</t>
  </si>
  <si>
    <t>{{CARGA23_FP}}</t>
  </si>
  <si>
    <t>Cargas_24!E24</t>
  </si>
  <si>
    <t>{{CARGA23_CI_KW}}</t>
  </si>
  <si>
    <t>Cargas_24!F24</t>
  </si>
  <si>
    <t>{{CARGA23_CI_KVA}}</t>
  </si>
  <si>
    <t>Cargas_24!G24</t>
  </si>
  <si>
    <t>{{CARGA24_DESC}}</t>
  </si>
  <si>
    <t>Cargas_24!B25</t>
  </si>
  <si>
    <t>{{CARGA24_P_W}}</t>
  </si>
  <si>
    <t>Cargas_24!C25</t>
  </si>
  <si>
    <t>{{CARGA24_QTD}}</t>
  </si>
  <si>
    <t>Cargas_24!D25</t>
  </si>
  <si>
    <t>{{CARGA24_FP}}</t>
  </si>
  <si>
    <t>Cargas_24!E25</t>
  </si>
  <si>
    <t>{{CARGA24_CI_KW}}</t>
  </si>
  <si>
    <t>Cargas_24!F25</t>
  </si>
  <si>
    <t>{{CARGA24_CI_KVA}}</t>
  </si>
  <si>
    <t>Cargas_24!G25</t>
  </si>
  <si>
    <t>{{CARGA_TOTAL_KW}}</t>
  </si>
  <si>
    <t>Cargas_24!F26</t>
  </si>
  <si>
    <t>{{CARGA_TOTAL_KVA}}</t>
  </si>
  <si>
    <t>Cargas_24!G26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</si>
</sst>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/>
  </sheetViews>
  <sheetFormatPr defaultRowHeight="15" x14ac:dyDescent="0.25"/>
  <cols>
    <col min="1" max="1" width="32.710937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-22.803280699999998</v>
      </c>
    </row>
    <row r="11" spans="1:2" x14ac:dyDescent="0.25">
      <c r="A11" t="s">
        <v>12</v>
      </c>
      <c r="B11">
        <v>-43.398318799999998</v>
      </c>
    </row>
    <row r="12" spans="1:2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2" x14ac:dyDescent="0.25">
      <c r="A17" t="s">
        <v>18</v>
      </c>
    </row>
    <row r="18" spans="1:2" x14ac:dyDescent="0.25">
      <c r="A18" t="s">
        <v>19</v>
      </c>
    </row>
    <row r="19" spans="1:2" x14ac:dyDescent="0.25">
      <c r="A19" t="s">
        <v>20</v>
      </c>
    </row>
    <row r="20" spans="1:2" x14ac:dyDescent="0.25">
      <c r="A20" t="s">
        <v>21</v>
      </c>
    </row>
    <row r="21" spans="1:2" x14ac:dyDescent="0.25">
      <c r="A21" t="s">
        <v>22</v>
      </c>
    </row>
    <row r="22" spans="1:2" x14ac:dyDescent="0.25">
      <c r="A22" t="s">
        <v>23</v>
      </c>
    </row>
    <row r="23" spans="1:2" x14ac:dyDescent="0.25">
      <c r="A23" t="s">
        <v>24</v>
      </c>
    </row>
    <row r="24" spans="1:2" x14ac:dyDescent="0.25">
      <c r="A24" t="s">
        <v>25</v>
      </c>
    </row>
    <row r="25" spans="1:2" x14ac:dyDescent="0.25">
      <c r="A25" t="s">
        <v>26</v>
      </c>
    </row>
    <row r="26" spans="1:2" x14ac:dyDescent="0.25">
      <c r="A26" t="s">
        <v>27</v>
      </c>
      <c r="B26">
        <v>1</v>
      </c>
    </row>
    <row r="27" spans="1:2" x14ac:dyDescent="0.25">
      <c r="A27" t="s">
        <v>28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</row>
    <row r="31" spans="1:2" x14ac:dyDescent="0.25">
      <c r="A31" t="s">
        <v>32</v>
      </c>
    </row>
    <row r="32" spans="1:2" x14ac:dyDescent="0.25">
      <c r="A32" t="s">
        <v>33</v>
      </c>
    </row>
    <row r="33" spans="1:2" x14ac:dyDescent="0.25">
      <c r="A33" t="s">
        <v>34</v>
      </c>
    </row>
    <row r="34" spans="1:2" x14ac:dyDescent="0.25">
      <c r="A34" t="s">
        <v>35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38</v>
      </c>
    </row>
    <row r="38" spans="1:2" x14ac:dyDescent="0.25">
      <c r="A38" t="s">
        <v>39</v>
      </c>
      <c r="B38">
        <v>220</v>
      </c>
    </row>
    <row r="39" spans="1:2" x14ac:dyDescent="0.25">
      <c r="A39" t="s">
        <v>40</v>
      </c>
      <c r="B39">
        <v>60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</row>
    <row r="43" spans="1:2" x14ac:dyDescent="0.25">
      <c r="A43" t="s">
        <v>44</v>
      </c>
      <c r="B43">
        <v>10</v>
      </c>
    </row>
    <row r="44" spans="1:2" x14ac:dyDescent="0.25">
      <c r="A44" t="s">
        <v>45</v>
      </c>
      <c r="B44">
        <v>10</v>
      </c>
    </row>
    <row r="45" spans="1:2" x14ac:dyDescent="0.25">
      <c r="A45" t="s">
        <v>46</v>
      </c>
    </row>
    <row r="46" spans="1:2" x14ac:dyDescent="0.25">
      <c r="A46" t="s">
        <v>47</v>
      </c>
    </row>
    <row r="47" spans="1:2" x14ac:dyDescent="0.25">
      <c r="A47" t="s">
        <v>48</v>
      </c>
    </row>
    <row r="48" spans="1:2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5" x14ac:dyDescent="0.25"/>
  <sheetData>
    <row r="1" spans="1:2" x14ac:dyDescent="0.25">
      <c r="A1" t="s">
        <v>6</v>
      </c>
      <c r="B1" t="s">
        <v>52</v>
      </c>
    </row>
    <row r="2" spans="1:2" x14ac:dyDescent="0.25">
      <c r="A2" t="s">
        <v>53</v>
      </c>
    </row>
    <row r="3" spans="1:2" x14ac:dyDescent="0.25">
      <c r="A3" t="s">
        <v>54</v>
      </c>
    </row>
    <row r="4" spans="1:2" x14ac:dyDescent="0.25">
      <c r="A4" t="s">
        <v>55</v>
      </c>
    </row>
    <row r="5" spans="1:2" x14ac:dyDescent="0.25">
      <c r="A5" t="s">
        <v>56</v>
      </c>
    </row>
    <row r="6" spans="1:2" x14ac:dyDescent="0.25">
      <c r="A6" t="s">
        <v>57</v>
      </c>
    </row>
    <row r="7" spans="1:2" x14ac:dyDescent="0.25">
      <c r="A7" t="s">
        <v>58</v>
      </c>
    </row>
    <row r="8" spans="1:2" x14ac:dyDescent="0.25">
      <c r="A8" t="s">
        <v>59</v>
      </c>
    </row>
    <row r="9" spans="1:2" x14ac:dyDescent="0.25">
      <c r="A9" t="s">
        <v>60</v>
      </c>
    </row>
    <row r="10" spans="1:2" x14ac:dyDescent="0.25">
      <c r="A10" t="s">
        <v>61</v>
      </c>
    </row>
    <row r="11" spans="1:2" x14ac:dyDescent="0.25">
      <c r="A11" t="s">
        <v>62</v>
      </c>
    </row>
    <row r="12" spans="1:2" x14ac:dyDescent="0.25">
      <c r="A12" t="s">
        <v>63</v>
      </c>
    </row>
    <row r="13" spans="1:2" x14ac:dyDescent="0.25">
      <c r="A13" t="s">
        <v>64</v>
      </c>
    </row>
    <row r="14" spans="1:2" x14ac:dyDescent="0.25">
      <c r="A14" t="s">
        <v>65</v>
      </c>
    </row>
    <row r="15" spans="1:2" x14ac:dyDescent="0.25">
      <c r="A15" t="s">
        <v>66</v>
      </c>
    </row>
    <row r="16" spans="1:2" x14ac:dyDescent="0.25">
      <c r="A16" t="s">
        <v>67</v>
      </c>
    </row>
    <row r="17" spans="1:2" x14ac:dyDescent="0.25">
      <c r="A17" t="s">
        <v>68</v>
      </c>
    </row>
    <row r="18" spans="1:2" x14ac:dyDescent="0.25">
      <c r="A18" t="s">
        <v>69</v>
      </c>
    </row>
    <row r="19" spans="1:2" x14ac:dyDescent="0.25">
      <c r="A19" t="s">
        <v>70</v>
      </c>
    </row>
    <row r="20" spans="1:2" x14ac:dyDescent="0.25">
      <c r="A20" t="s">
        <v>71</v>
      </c>
    </row>
    <row r="21" spans="1:2" x14ac:dyDescent="0.25">
      <c r="A21" t="s">
        <v>72</v>
      </c>
    </row>
    <row r="22" spans="1:2" x14ac:dyDescent="0.25">
      <c r="A22" t="s">
        <v>73</v>
      </c>
    </row>
    <row r="23" spans="1:2" x14ac:dyDescent="0.25">
      <c r="A23" t="s">
        <v>74</v>
      </c>
    </row>
    <row r="24" spans="1:2" x14ac:dyDescent="0.25">
      <c r="A24" t="s">
        <v>75</v>
      </c>
    </row>
    <row r="25" spans="1:2" x14ac:dyDescent="0.25">
      <c r="A25" t="s">
        <v>76</v>
      </c>
    </row>
    <row r="26" spans="1:2" x14ac:dyDescent="0.25">
      <c r="A26" t="s">
        <v>77</v>
      </c>
      <c r="B26">
        <f>SUM(B2:B25)</f>
        <v>0</v>
      </c>
    </row>
    <row r="27" spans="1:2" x14ac:dyDescent="0.25">
      <c r="A27" t="s">
        <v>78</v>
      </c>
      <c r="B27" t="e">
        <f>AVERAGE(B2:B25)</f>
        <v>#DIV/0!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defaultRowHeight="15" x14ac:dyDescent="0.25"/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 x14ac:dyDescent="0.25">
      <c r="A2">
        <v>1</v>
      </c>
      <c r="F2" t="str">
        <f t="shared" ref="F2:F25" si="0">IF(OR(C2="",D2=""),"",C2*D2/1000)</f>
        <v/>
      </c>
      <c r="G2" t="str">
        <f t="shared" ref="G2:G25" si="1">IF(OR(F2="",E2=""),"",F2/E2)</f>
        <v/>
      </c>
    </row>
    <row r="3" spans="1:7" x14ac:dyDescent="0.25">
      <c r="A3">
        <v>2</v>
      </c>
      <c r="F3" t="str">
        <f t="shared" si="0"/>
        <v/>
      </c>
      <c r="G3" t="str">
        <f t="shared" si="1"/>
        <v/>
      </c>
    </row>
    <row r="4" spans="1:7" x14ac:dyDescent="0.25">
      <c r="A4">
        <v>3</v>
      </c>
      <c r="F4" t="str">
        <f t="shared" si="0"/>
        <v/>
      </c>
      <c r="G4" t="str">
        <f t="shared" si="1"/>
        <v/>
      </c>
    </row>
    <row r="5" spans="1:7" x14ac:dyDescent="0.25">
      <c r="A5">
        <v>4</v>
      </c>
      <c r="F5" t="str">
        <f t="shared" si="0"/>
        <v/>
      </c>
      <c r="G5" t="str">
        <f t="shared" si="1"/>
        <v/>
      </c>
    </row>
    <row r="6" spans="1:7" x14ac:dyDescent="0.25">
      <c r="A6">
        <v>5</v>
      </c>
      <c r="F6" t="str">
        <f t="shared" si="0"/>
        <v/>
      </c>
      <c r="G6" t="str">
        <f t="shared" si="1"/>
        <v/>
      </c>
    </row>
    <row r="7" spans="1:7" x14ac:dyDescent="0.25">
      <c r="A7">
        <v>6</v>
      </c>
      <c r="F7" t="str">
        <f t="shared" si="0"/>
        <v/>
      </c>
      <c r="G7" t="str">
        <f t="shared" si="1"/>
        <v/>
      </c>
    </row>
    <row r="8" spans="1:7" x14ac:dyDescent="0.25">
      <c r="A8">
        <v>7</v>
      </c>
      <c r="F8" t="str">
        <f t="shared" si="0"/>
        <v/>
      </c>
      <c r="G8" t="str">
        <f t="shared" si="1"/>
        <v/>
      </c>
    </row>
    <row r="9" spans="1:7" x14ac:dyDescent="0.25">
      <c r="A9">
        <v>8</v>
      </c>
      <c r="F9" t="str">
        <f t="shared" si="0"/>
        <v/>
      </c>
      <c r="G9" t="str">
        <f t="shared" si="1"/>
        <v/>
      </c>
    </row>
    <row r="10" spans="1:7" x14ac:dyDescent="0.25">
      <c r="A10">
        <v>9</v>
      </c>
      <c r="F10" t="str">
        <f t="shared" si="0"/>
        <v/>
      </c>
      <c r="G10" t="str">
        <f t="shared" si="1"/>
        <v/>
      </c>
    </row>
    <row r="11" spans="1:7" x14ac:dyDescent="0.25">
      <c r="A11">
        <v>10</v>
      </c>
      <c r="F11" t="str">
        <f t="shared" si="0"/>
        <v/>
      </c>
      <c r="G11" t="str">
        <f t="shared" si="1"/>
        <v/>
      </c>
    </row>
    <row r="12" spans="1:7" x14ac:dyDescent="0.25">
      <c r="A12">
        <v>11</v>
      </c>
      <c r="F12" t="str">
        <f t="shared" si="0"/>
        <v/>
      </c>
      <c r="G12" t="str">
        <f t="shared" si="1"/>
        <v/>
      </c>
    </row>
    <row r="13" spans="1:7" x14ac:dyDescent="0.25">
      <c r="A13">
        <v>12</v>
      </c>
      <c r="F13" t="str">
        <f t="shared" si="0"/>
        <v/>
      </c>
      <c r="G13" t="str">
        <f t="shared" si="1"/>
        <v/>
      </c>
    </row>
    <row r="14" spans="1:7" x14ac:dyDescent="0.25">
      <c r="A14">
        <v>13</v>
      </c>
      <c r="F14" t="str">
        <f t="shared" si="0"/>
        <v/>
      </c>
      <c r="G14" t="str">
        <f t="shared" si="1"/>
        <v/>
      </c>
    </row>
    <row r="15" spans="1:7" x14ac:dyDescent="0.25">
      <c r="A15">
        <v>14</v>
      </c>
      <c r="F15" t="str">
        <f t="shared" si="0"/>
        <v/>
      </c>
      <c r="G15" t="str">
        <f t="shared" si="1"/>
        <v/>
      </c>
    </row>
    <row r="16" spans="1:7" x14ac:dyDescent="0.25">
      <c r="A16">
        <v>15</v>
      </c>
      <c r="F16" t="str">
        <f t="shared" si="0"/>
        <v/>
      </c>
      <c r="G16" t="str">
        <f t="shared" si="1"/>
        <v/>
      </c>
    </row>
    <row r="17" spans="1:7" x14ac:dyDescent="0.25">
      <c r="A17">
        <v>16</v>
      </c>
      <c r="F17" t="str">
        <f t="shared" si="0"/>
        <v/>
      </c>
      <c r="G17" t="str">
        <f t="shared" si="1"/>
        <v/>
      </c>
    </row>
    <row r="18" spans="1:7" x14ac:dyDescent="0.25">
      <c r="A18">
        <v>17</v>
      </c>
      <c r="F18" t="str">
        <f t="shared" si="0"/>
        <v/>
      </c>
      <c r="G18" t="str">
        <f t="shared" si="1"/>
        <v/>
      </c>
    </row>
    <row r="19" spans="1:7" x14ac:dyDescent="0.25">
      <c r="A19">
        <v>18</v>
      </c>
      <c r="F19" t="str">
        <f t="shared" si="0"/>
        <v/>
      </c>
      <c r="G19" t="str">
        <f t="shared" si="1"/>
        <v/>
      </c>
    </row>
    <row r="20" spans="1:7" x14ac:dyDescent="0.25">
      <c r="A20">
        <v>19</v>
      </c>
      <c r="F20" t="str">
        <f t="shared" si="0"/>
        <v/>
      </c>
      <c r="G20" t="str">
        <f t="shared" si="1"/>
        <v/>
      </c>
    </row>
    <row r="21" spans="1:7" x14ac:dyDescent="0.25">
      <c r="A21">
        <v>20</v>
      </c>
      <c r="F21" t="str">
        <f t="shared" si="0"/>
        <v/>
      </c>
      <c r="G21" t="str">
        <f t="shared" si="1"/>
        <v/>
      </c>
    </row>
    <row r="22" spans="1:7" x14ac:dyDescent="0.25">
      <c r="A22">
        <v>21</v>
      </c>
      <c r="F22" t="str">
        <f t="shared" si="0"/>
        <v/>
      </c>
      <c r="G22" t="str">
        <f t="shared" si="1"/>
        <v/>
      </c>
    </row>
    <row r="23" spans="1:7" x14ac:dyDescent="0.25">
      <c r="A23">
        <v>22</v>
      </c>
      <c r="F23" t="str">
        <f t="shared" si="0"/>
        <v/>
      </c>
      <c r="G23" t="str">
        <f t="shared" si="1"/>
        <v/>
      </c>
    </row>
    <row r="24" spans="1:7" x14ac:dyDescent="0.25">
      <c r="A24">
        <v>23</v>
      </c>
      <c r="F24" t="str">
        <f t="shared" si="0"/>
        <v/>
      </c>
      <c r="G24" t="str">
        <f t="shared" si="1"/>
        <v/>
      </c>
    </row>
    <row r="25" spans="1:7" x14ac:dyDescent="0.25">
      <c r="A25">
        <v>24</v>
      </c>
      <c r="F25" t="str">
        <f t="shared" si="0"/>
        <v/>
      </c>
      <c r="G25" t="str">
        <f t="shared" si="1"/>
        <v/>
      </c>
    </row>
    <row r="26" spans="1:7" x14ac:dyDescent="0.25">
      <c r="A26" t="s">
        <v>77</v>
      </c>
      <c r="F26">
        <f>SUM(F2:F25)</f>
        <v>0</v>
      </c>
      <c r="G26">
        <f>SUM(G2:G25)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5" x14ac:dyDescent="0.25"/>
  <cols>
    <col min="1" max="1" width="17.42578125" bestFit="1" customWidth="1"/>
  </cols>
  <sheetData>
    <row r="1" spans="1:2" x14ac:dyDescent="0.25">
      <c r="A1" t="s">
        <v>86</v>
      </c>
      <c r="B1" t="s">
        <v>1</v>
      </c>
    </row>
    <row r="2" spans="1:2" x14ac:dyDescent="0.25">
      <c r="A2" t="s">
        <v>87</v>
      </c>
      <c r="B2">
        <f>Inputs!B15*Inputs!B16/1000</f>
        <v>0</v>
      </c>
    </row>
    <row r="3" spans="1:2" x14ac:dyDescent="0.25">
      <c r="A3" t="s">
        <v>88</v>
      </c>
      <c r="B3">
        <f>Inputs!B18*Inputs!B19*Inputs!B15</f>
        <v>0</v>
      </c>
    </row>
    <row r="4" spans="1:2" x14ac:dyDescent="0.25">
      <c r="A4" t="s">
        <v>89</v>
      </c>
      <c r="B4">
        <f>Inputs!B18*Inputs!B15</f>
        <v>0</v>
      </c>
    </row>
    <row r="5" spans="1:2" x14ac:dyDescent="0.25">
      <c r="A5" t="s">
        <v>90</v>
      </c>
      <c r="B5">
        <f>Inputs!B19</f>
        <v>0</v>
      </c>
    </row>
    <row r="6" spans="1:2" x14ac:dyDescent="0.25">
      <c r="A6" t="s">
        <v>91</v>
      </c>
      <c r="B6">
        <f>Inputs!B36*1000/Inputs!B38</f>
        <v>0</v>
      </c>
    </row>
    <row r="7" spans="1:2" x14ac:dyDescent="0.25">
      <c r="A7" t="s">
        <v>92</v>
      </c>
      <c r="B7">
        <f>Inputs!B19*Inputs!B49*(2*Inputs!B43/1000)</f>
        <v>0</v>
      </c>
    </row>
    <row r="8" spans="1:2" x14ac:dyDescent="0.25">
      <c r="A8" t="s">
        <v>93</v>
      </c>
      <c r="B8" t="str">
        <f>IF(B4=0,"",B7/B4)</f>
        <v/>
      </c>
    </row>
    <row r="9" spans="1:2" x14ac:dyDescent="0.25">
      <c r="A9" t="s">
        <v>94</v>
      </c>
      <c r="B9">
        <f>B6*Inputs!B50*(2*Inputs!B44/1000)</f>
        <v>0</v>
      </c>
    </row>
    <row r="10" spans="1:2" x14ac:dyDescent="0.25">
      <c r="A10" t="s">
        <v>95</v>
      </c>
      <c r="B10">
        <f>IF(Inputs!B38=0,"",B9/Inputs!B38)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1"/>
  <sheetViews>
    <sheetView workbookViewId="0"/>
  </sheetViews>
  <sheetFormatPr defaultRowHeight="15" x14ac:dyDescent="0.25"/>
  <cols>
    <col min="1" max="1" width="35.7109375" bestFit="1" customWidth="1"/>
    <col min="2" max="2" width="18.140625" bestFit="1" customWidth="1"/>
  </cols>
  <sheetData>
    <row r="1" spans="1:2" x14ac:dyDescent="0.25">
      <c r="A1" t="s">
        <v>96</v>
      </c>
      <c r="B1" t="s">
        <v>97</v>
      </c>
    </row>
    <row r="2" spans="1:2" x14ac:dyDescent="0.25">
      <c r="A2" t="s">
        <v>98</v>
      </c>
      <c r="B2" t="s">
        <v>99</v>
      </c>
    </row>
    <row r="3" spans="1:2" x14ac:dyDescent="0.25">
      <c r="A3" t="s">
        <v>100</v>
      </c>
      <c r="B3" t="s">
        <v>101</v>
      </c>
    </row>
    <row r="4" spans="1:2" x14ac:dyDescent="0.25">
      <c r="A4" t="s">
        <v>102</v>
      </c>
      <c r="B4" t="s">
        <v>103</v>
      </c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111</v>
      </c>
    </row>
    <row r="9" spans="1:2" x14ac:dyDescent="0.25">
      <c r="A9" t="s">
        <v>112</v>
      </c>
      <c r="B9" t="s">
        <v>113</v>
      </c>
    </row>
    <row r="10" spans="1:2" x14ac:dyDescent="0.25">
      <c r="A10" t="s">
        <v>114</v>
      </c>
      <c r="B10" t="s">
        <v>115</v>
      </c>
    </row>
    <row r="11" spans="1:2" x14ac:dyDescent="0.25">
      <c r="A11" t="s">
        <v>116</v>
      </c>
      <c r="B11" t="s">
        <v>117</v>
      </c>
    </row>
    <row r="12" spans="1:2" x14ac:dyDescent="0.25">
      <c r="A12" t="s">
        <v>118</v>
      </c>
      <c r="B12" t="s">
        <v>119</v>
      </c>
    </row>
    <row r="13" spans="1:2" x14ac:dyDescent="0.25">
      <c r="A13" t="s">
        <v>120</v>
      </c>
      <c r="B13" t="s">
        <v>121</v>
      </c>
    </row>
    <row r="14" spans="1:2" x14ac:dyDescent="0.25">
      <c r="A14" t="s">
        <v>122</v>
      </c>
      <c r="B14" t="s">
        <v>123</v>
      </c>
    </row>
    <row r="15" spans="1:2" x14ac:dyDescent="0.25">
      <c r="A15" t="s">
        <v>124</v>
      </c>
      <c r="B15" t="s">
        <v>125</v>
      </c>
    </row>
    <row r="16" spans="1:2" x14ac:dyDescent="0.25">
      <c r="A16" t="s">
        <v>126</v>
      </c>
      <c r="B16" t="s">
        <v>127</v>
      </c>
    </row>
    <row r="17" spans="1:2" x14ac:dyDescent="0.25">
      <c r="A17" t="s">
        <v>128</v>
      </c>
      <c r="B17" t="s">
        <v>129</v>
      </c>
    </row>
    <row r="18" spans="1:2" x14ac:dyDescent="0.25">
      <c r="A18" t="s">
        <v>130</v>
      </c>
      <c r="B18" t="s">
        <v>131</v>
      </c>
    </row>
    <row r="19" spans="1:2" x14ac:dyDescent="0.25">
      <c r="A19" t="s">
        <v>132</v>
      </c>
      <c r="B19" t="s">
        <v>133</v>
      </c>
    </row>
    <row r="20" spans="1:2" x14ac:dyDescent="0.25">
      <c r="A20" t="s">
        <v>134</v>
      </c>
      <c r="B20" t="s">
        <v>135</v>
      </c>
    </row>
    <row r="21" spans="1:2" x14ac:dyDescent="0.25">
      <c r="A21" t="s">
        <v>136</v>
      </c>
      <c r="B21" t="s">
        <v>137</v>
      </c>
    </row>
    <row r="22" spans="1:2" x14ac:dyDescent="0.25">
      <c r="A22" t="s">
        <v>138</v>
      </c>
      <c r="B22" t="s">
        <v>139</v>
      </c>
    </row>
    <row r="23" spans="1:2" x14ac:dyDescent="0.25">
      <c r="A23" t="s">
        <v>140</v>
      </c>
      <c r="B23" t="s">
        <v>141</v>
      </c>
    </row>
    <row r="24" spans="1:2" x14ac:dyDescent="0.25">
      <c r="A24" t="s">
        <v>142</v>
      </c>
      <c r="B24" t="s">
        <v>143</v>
      </c>
    </row>
    <row r="25" spans="1:2" x14ac:dyDescent="0.25">
      <c r="A25" t="s">
        <v>144</v>
      </c>
      <c r="B25" t="s">
        <v>145</v>
      </c>
    </row>
    <row r="26" spans="1:2" x14ac:dyDescent="0.25">
      <c r="A26" t="s">
        <v>146</v>
      </c>
      <c r="B26" t="s">
        <v>147</v>
      </c>
    </row>
    <row r="27" spans="1:2" x14ac:dyDescent="0.25">
      <c r="A27" t="s">
        <v>148</v>
      </c>
      <c r="B27" t="s">
        <v>149</v>
      </c>
    </row>
    <row r="28" spans="1:2" x14ac:dyDescent="0.25">
      <c r="A28" t="s">
        <v>150</v>
      </c>
      <c r="B28" t="s">
        <v>151</v>
      </c>
    </row>
    <row r="29" spans="1:2" x14ac:dyDescent="0.25">
      <c r="A29" t="s">
        <v>152</v>
      </c>
      <c r="B29" t="s">
        <v>153</v>
      </c>
    </row>
    <row r="30" spans="1:2" x14ac:dyDescent="0.25">
      <c r="A30" t="s">
        <v>154</v>
      </c>
      <c r="B30" t="s">
        <v>155</v>
      </c>
    </row>
    <row r="31" spans="1:2" x14ac:dyDescent="0.25">
      <c r="A31" t="s">
        <v>156</v>
      </c>
      <c r="B31" t="s">
        <v>157</v>
      </c>
    </row>
    <row r="32" spans="1:2" x14ac:dyDescent="0.25">
      <c r="A32" t="s">
        <v>158</v>
      </c>
      <c r="B32" t="s">
        <v>159</v>
      </c>
    </row>
    <row r="33" spans="1:2" x14ac:dyDescent="0.25">
      <c r="A33" t="s">
        <v>160</v>
      </c>
      <c r="B33" t="s">
        <v>161</v>
      </c>
    </row>
    <row r="34" spans="1:2" x14ac:dyDescent="0.25">
      <c r="A34" t="s">
        <v>162</v>
      </c>
      <c r="B34" t="s">
        <v>163</v>
      </c>
    </row>
    <row r="35" spans="1:2" x14ac:dyDescent="0.25">
      <c r="A35" t="s">
        <v>164</v>
      </c>
      <c r="B35" t="s">
        <v>165</v>
      </c>
    </row>
    <row r="36" spans="1:2" x14ac:dyDescent="0.25">
      <c r="A36" t="s">
        <v>166</v>
      </c>
      <c r="B36" t="s">
        <v>167</v>
      </c>
    </row>
    <row r="37" spans="1:2" x14ac:dyDescent="0.25">
      <c r="A37" t="s">
        <v>168</v>
      </c>
      <c r="B37" t="s">
        <v>169</v>
      </c>
    </row>
    <row r="38" spans="1:2" x14ac:dyDescent="0.25">
      <c r="A38" t="s">
        <v>170</v>
      </c>
      <c r="B38" t="s">
        <v>171</v>
      </c>
    </row>
    <row r="39" spans="1:2" x14ac:dyDescent="0.25">
      <c r="A39" t="s">
        <v>172</v>
      </c>
      <c r="B39" t="s">
        <v>173</v>
      </c>
    </row>
    <row r="40" spans="1:2" x14ac:dyDescent="0.25">
      <c r="A40" t="s">
        <v>174</v>
      </c>
      <c r="B40" t="s">
        <v>175</v>
      </c>
    </row>
    <row r="41" spans="1:2" x14ac:dyDescent="0.25">
      <c r="A41" t="s">
        <v>176</v>
      </c>
      <c r="B41" t="s">
        <v>177</v>
      </c>
    </row>
    <row r="42" spans="1:2" x14ac:dyDescent="0.25">
      <c r="A42" t="s">
        <v>178</v>
      </c>
      <c r="B42" t="s">
        <v>179</v>
      </c>
    </row>
    <row r="43" spans="1:2" x14ac:dyDescent="0.25">
      <c r="A43" t="s">
        <v>180</v>
      </c>
      <c r="B43" t="s">
        <v>181</v>
      </c>
    </row>
    <row r="44" spans="1:2" x14ac:dyDescent="0.25">
      <c r="A44" t="s">
        <v>182</v>
      </c>
      <c r="B44" t="s">
        <v>183</v>
      </c>
    </row>
    <row r="45" spans="1:2" x14ac:dyDescent="0.25">
      <c r="A45" t="s">
        <v>184</v>
      </c>
      <c r="B45" t="s">
        <v>185</v>
      </c>
    </row>
    <row r="46" spans="1:2" x14ac:dyDescent="0.25">
      <c r="A46" t="s">
        <v>186</v>
      </c>
      <c r="B46" t="s">
        <v>187</v>
      </c>
    </row>
    <row r="47" spans="1:2" x14ac:dyDescent="0.25">
      <c r="A47" t="s">
        <v>188</v>
      </c>
      <c r="B47" t="s">
        <v>189</v>
      </c>
    </row>
    <row r="48" spans="1:2" x14ac:dyDescent="0.25">
      <c r="A48" t="s">
        <v>190</v>
      </c>
      <c r="B48" t="s">
        <v>191</v>
      </c>
    </row>
    <row r="49" spans="1:2" x14ac:dyDescent="0.25">
      <c r="A49" t="s">
        <v>192</v>
      </c>
      <c r="B49" t="s">
        <v>193</v>
      </c>
    </row>
    <row r="50" spans="1:2" x14ac:dyDescent="0.25">
      <c r="A50" t="s">
        <v>194</v>
      </c>
      <c r="B50" t="s">
        <v>195</v>
      </c>
    </row>
    <row r="51" spans="1:2" x14ac:dyDescent="0.25">
      <c r="A51" t="s">
        <v>196</v>
      </c>
      <c r="B51" t="s">
        <v>197</v>
      </c>
    </row>
    <row r="52" spans="1:2" x14ac:dyDescent="0.25">
      <c r="A52" t="s">
        <v>198</v>
      </c>
      <c r="B52" t="s">
        <v>199</v>
      </c>
    </row>
    <row r="53" spans="1:2" x14ac:dyDescent="0.25">
      <c r="A53" t="s">
        <v>200</v>
      </c>
      <c r="B53" t="s">
        <v>201</v>
      </c>
    </row>
    <row r="54" spans="1:2" x14ac:dyDescent="0.25">
      <c r="A54" t="s">
        <v>202</v>
      </c>
      <c r="B54" t="s">
        <v>203</v>
      </c>
    </row>
    <row r="55" spans="1:2" x14ac:dyDescent="0.25">
      <c r="A55" t="s">
        <v>204</v>
      </c>
      <c r="B55" t="s">
        <v>205</v>
      </c>
    </row>
    <row r="56" spans="1:2" x14ac:dyDescent="0.25">
      <c r="A56" t="s">
        <v>206</v>
      </c>
      <c r="B56" t="s">
        <v>207</v>
      </c>
    </row>
    <row r="57" spans="1:2" x14ac:dyDescent="0.25">
      <c r="A57" t="s">
        <v>208</v>
      </c>
      <c r="B57" t="s">
        <v>209</v>
      </c>
    </row>
    <row r="58" spans="1:2" x14ac:dyDescent="0.25">
      <c r="A58" t="s">
        <v>210</v>
      </c>
      <c r="B58" t="s">
        <v>211</v>
      </c>
    </row>
    <row r="59" spans="1:2" x14ac:dyDescent="0.25">
      <c r="A59" t="s">
        <v>212</v>
      </c>
      <c r="B59" t="s">
        <v>213</v>
      </c>
    </row>
    <row r="60" spans="1:2" x14ac:dyDescent="0.25">
      <c r="A60" t="s">
        <v>214</v>
      </c>
      <c r="B60" t="s">
        <v>215</v>
      </c>
    </row>
    <row r="61" spans="1:2" x14ac:dyDescent="0.25">
      <c r="A61" t="s">
        <v>216</v>
      </c>
      <c r="B61" t="s">
        <v>217</v>
      </c>
    </row>
    <row r="62" spans="1:2" x14ac:dyDescent="0.25">
      <c r="A62" t="s">
        <v>218</v>
      </c>
      <c r="B62" t="s">
        <v>219</v>
      </c>
    </row>
    <row r="63" spans="1:2" x14ac:dyDescent="0.25">
      <c r="A63" t="s">
        <v>220</v>
      </c>
      <c r="B63" t="s">
        <v>221</v>
      </c>
    </row>
    <row r="64" spans="1:2" x14ac:dyDescent="0.25">
      <c r="A64" t="s">
        <v>222</v>
      </c>
      <c r="B64" t="s">
        <v>223</v>
      </c>
    </row>
    <row r="65" spans="1:2" x14ac:dyDescent="0.25">
      <c r="A65" t="s">
        <v>224</v>
      </c>
      <c r="B65" t="s">
        <v>225</v>
      </c>
    </row>
    <row r="66" spans="1:2" x14ac:dyDescent="0.25">
      <c r="A66" t="s">
        <v>226</v>
      </c>
      <c r="B66" t="s">
        <v>227</v>
      </c>
    </row>
    <row r="67" spans="1:2" x14ac:dyDescent="0.25">
      <c r="A67" t="s">
        <v>228</v>
      </c>
      <c r="B67" t="s">
        <v>229</v>
      </c>
    </row>
    <row r="68" spans="1:2" x14ac:dyDescent="0.25">
      <c r="A68" t="s">
        <v>230</v>
      </c>
      <c r="B68" t="s">
        <v>231</v>
      </c>
    </row>
    <row r="69" spans="1:2" x14ac:dyDescent="0.25">
      <c r="A69" t="s">
        <v>232</v>
      </c>
      <c r="B69" t="s">
        <v>233</v>
      </c>
    </row>
    <row r="70" spans="1:2" x14ac:dyDescent="0.25">
      <c r="A70" t="s">
        <v>234</v>
      </c>
      <c r="B70" t="s">
        <v>235</v>
      </c>
    </row>
    <row r="71" spans="1:2" x14ac:dyDescent="0.25">
      <c r="A71" t="s">
        <v>236</v>
      </c>
      <c r="B71" t="s">
        <v>237</v>
      </c>
    </row>
    <row r="72" spans="1:2" x14ac:dyDescent="0.25">
      <c r="A72" t="s">
        <v>238</v>
      </c>
      <c r="B72" t="s">
        <v>239</v>
      </c>
    </row>
    <row r="73" spans="1:2" x14ac:dyDescent="0.25">
      <c r="A73" t="s">
        <v>240</v>
      </c>
      <c r="B73" t="s">
        <v>241</v>
      </c>
    </row>
    <row r="74" spans="1:2" x14ac:dyDescent="0.25">
      <c r="A74" t="s">
        <v>242</v>
      </c>
      <c r="B74" t="s">
        <v>243</v>
      </c>
    </row>
    <row r="75" spans="1:2" x14ac:dyDescent="0.25">
      <c r="A75" t="s">
        <v>244</v>
      </c>
      <c r="B75" t="s">
        <v>245</v>
      </c>
    </row>
    <row r="76" spans="1:2" x14ac:dyDescent="0.25">
      <c r="A76" t="s">
        <v>246</v>
      </c>
      <c r="B76" t="s">
        <v>247</v>
      </c>
    </row>
    <row r="77" spans="1:2" x14ac:dyDescent="0.25">
      <c r="A77" t="s">
        <v>248</v>
      </c>
      <c r="B77" t="s">
        <v>249</v>
      </c>
    </row>
    <row r="78" spans="1:2" x14ac:dyDescent="0.25">
      <c r="A78" t="s">
        <v>250</v>
      </c>
      <c r="B78" t="s">
        <v>251</v>
      </c>
    </row>
    <row r="79" spans="1:2" x14ac:dyDescent="0.25">
      <c r="A79" t="s">
        <v>252</v>
      </c>
      <c r="B79" t="s">
        <v>253</v>
      </c>
    </row>
    <row r="80" spans="1:2" x14ac:dyDescent="0.25">
      <c r="A80" t="s">
        <v>254</v>
      </c>
      <c r="B80" t="s">
        <v>255</v>
      </c>
    </row>
    <row r="81" spans="1:2" x14ac:dyDescent="0.25">
      <c r="A81" t="s">
        <v>256</v>
      </c>
      <c r="B81" t="s">
        <v>257</v>
      </c>
    </row>
    <row r="82" spans="1:2" x14ac:dyDescent="0.25">
      <c r="A82" t="s">
        <v>258</v>
      </c>
      <c r="B82" t="s">
        <v>259</v>
      </c>
    </row>
    <row r="83" spans="1:2" x14ac:dyDescent="0.25">
      <c r="A83" t="s">
        <v>260</v>
      </c>
      <c r="B83" t="s">
        <v>261</v>
      </c>
    </row>
    <row r="84" spans="1:2" x14ac:dyDescent="0.25">
      <c r="A84" t="s">
        <v>262</v>
      </c>
      <c r="B84" t="s">
        <v>263</v>
      </c>
    </row>
    <row r="85" spans="1:2" x14ac:dyDescent="0.25">
      <c r="A85" t="s">
        <v>264</v>
      </c>
      <c r="B85" t="s">
        <v>265</v>
      </c>
    </row>
    <row r="86" spans="1:2" x14ac:dyDescent="0.25">
      <c r="A86" t="s">
        <v>266</v>
      </c>
      <c r="B86" t="s">
        <v>267</v>
      </c>
    </row>
    <row r="87" spans="1:2" x14ac:dyDescent="0.25">
      <c r="A87" t="s">
        <v>268</v>
      </c>
      <c r="B87" t="s">
        <v>269</v>
      </c>
    </row>
    <row r="88" spans="1:2" x14ac:dyDescent="0.25">
      <c r="A88" t="s">
        <v>270</v>
      </c>
      <c r="B88" t="s">
        <v>271</v>
      </c>
    </row>
    <row r="89" spans="1:2" x14ac:dyDescent="0.25">
      <c r="A89" t="s">
        <v>272</v>
      </c>
      <c r="B89" t="s">
        <v>273</v>
      </c>
    </row>
    <row r="90" spans="1:2" x14ac:dyDescent="0.25">
      <c r="A90" t="s">
        <v>274</v>
      </c>
      <c r="B90" t="s">
        <v>275</v>
      </c>
    </row>
    <row r="91" spans="1:2" x14ac:dyDescent="0.25">
      <c r="A91" t="s">
        <v>276</v>
      </c>
      <c r="B91" t="s">
        <v>277</v>
      </c>
    </row>
    <row r="92" spans="1:2" x14ac:dyDescent="0.25">
      <c r="A92" t="s">
        <v>278</v>
      </c>
      <c r="B92" t="s">
        <v>279</v>
      </c>
    </row>
    <row r="93" spans="1:2" x14ac:dyDescent="0.25">
      <c r="A93" t="s">
        <v>280</v>
      </c>
      <c r="B93" t="s">
        <v>281</v>
      </c>
    </row>
    <row r="94" spans="1:2" x14ac:dyDescent="0.25">
      <c r="A94" t="s">
        <v>282</v>
      </c>
      <c r="B94" t="s">
        <v>283</v>
      </c>
    </row>
    <row r="95" spans="1:2" x14ac:dyDescent="0.25">
      <c r="A95" t="s">
        <v>284</v>
      </c>
      <c r="B95" t="s">
        <v>285</v>
      </c>
    </row>
    <row r="96" spans="1:2" x14ac:dyDescent="0.25">
      <c r="A96" t="s">
        <v>286</v>
      </c>
      <c r="B96" t="s">
        <v>287</v>
      </c>
    </row>
    <row r="97" spans="1:2" x14ac:dyDescent="0.25">
      <c r="A97" t="s">
        <v>288</v>
      </c>
      <c r="B97" t="s">
        <v>289</v>
      </c>
    </row>
    <row r="98" spans="1:2" x14ac:dyDescent="0.25">
      <c r="A98" t="s">
        <v>290</v>
      </c>
      <c r="B98" t="s">
        <v>291</v>
      </c>
    </row>
    <row r="99" spans="1:2" x14ac:dyDescent="0.25">
      <c r="A99" t="s">
        <v>292</v>
      </c>
      <c r="B99" t="s">
        <v>293</v>
      </c>
    </row>
    <row r="100" spans="1:2" x14ac:dyDescent="0.25">
      <c r="A100" t="s">
        <v>294</v>
      </c>
      <c r="B100" t="s">
        <v>295</v>
      </c>
    </row>
    <row r="101" spans="1:2" x14ac:dyDescent="0.25">
      <c r="A101" t="s">
        <v>296</v>
      </c>
      <c r="B101" t="s">
        <v>297</v>
      </c>
    </row>
    <row r="102" spans="1:2" x14ac:dyDescent="0.25">
      <c r="A102" t="s">
        <v>298</v>
      </c>
      <c r="B102" t="s">
        <v>299</v>
      </c>
    </row>
    <row r="103" spans="1:2" x14ac:dyDescent="0.25">
      <c r="A103" t="s">
        <v>300</v>
      </c>
      <c r="B103" t="s">
        <v>301</v>
      </c>
    </row>
    <row r="104" spans="1:2" x14ac:dyDescent="0.25">
      <c r="A104" t="s">
        <v>302</v>
      </c>
      <c r="B104" t="s">
        <v>303</v>
      </c>
    </row>
    <row r="105" spans="1:2" x14ac:dyDescent="0.25">
      <c r="A105" t="s">
        <v>304</v>
      </c>
      <c r="B105" t="s">
        <v>305</v>
      </c>
    </row>
    <row r="106" spans="1:2" x14ac:dyDescent="0.25">
      <c r="A106" t="s">
        <v>306</v>
      </c>
      <c r="B106" t="s">
        <v>307</v>
      </c>
    </row>
    <row r="107" spans="1:2" x14ac:dyDescent="0.25">
      <c r="A107" t="s">
        <v>308</v>
      </c>
      <c r="B107" t="s">
        <v>309</v>
      </c>
    </row>
    <row r="108" spans="1:2" x14ac:dyDescent="0.25">
      <c r="A108" t="s">
        <v>310</v>
      </c>
      <c r="B108" t="s">
        <v>311</v>
      </c>
    </row>
    <row r="109" spans="1:2" x14ac:dyDescent="0.25">
      <c r="A109" t="s">
        <v>312</v>
      </c>
      <c r="B109" t="s">
        <v>313</v>
      </c>
    </row>
    <row r="110" spans="1:2" x14ac:dyDescent="0.25">
      <c r="A110" t="s">
        <v>314</v>
      </c>
      <c r="B110" t="s">
        <v>315</v>
      </c>
    </row>
    <row r="111" spans="1:2" x14ac:dyDescent="0.25">
      <c r="A111" t="s">
        <v>316</v>
      </c>
      <c r="B111" t="s">
        <v>317</v>
      </c>
    </row>
    <row r="112" spans="1:2" x14ac:dyDescent="0.25">
      <c r="A112" t="s">
        <v>318</v>
      </c>
      <c r="B112" t="s">
        <v>319</v>
      </c>
    </row>
    <row r="113" spans="1:2" x14ac:dyDescent="0.25">
      <c r="A113" t="s">
        <v>320</v>
      </c>
      <c r="B113" t="s">
        <v>321</v>
      </c>
    </row>
    <row r="114" spans="1:2" x14ac:dyDescent="0.25">
      <c r="A114" t="s">
        <v>322</v>
      </c>
      <c r="B114" t="s">
        <v>323</v>
      </c>
    </row>
    <row r="115" spans="1:2" x14ac:dyDescent="0.25">
      <c r="A115" t="s">
        <v>324</v>
      </c>
      <c r="B115" t="s">
        <v>325</v>
      </c>
    </row>
    <row r="116" spans="1:2" x14ac:dyDescent="0.25">
      <c r="A116" t="s">
        <v>326</v>
      </c>
      <c r="B116" t="s">
        <v>327</v>
      </c>
    </row>
    <row r="117" spans="1:2" x14ac:dyDescent="0.25">
      <c r="A117" t="s">
        <v>328</v>
      </c>
      <c r="B117" t="s">
        <v>329</v>
      </c>
    </row>
    <row r="118" spans="1:2" x14ac:dyDescent="0.25">
      <c r="A118" t="s">
        <v>330</v>
      </c>
      <c r="B118" t="s">
        <v>331</v>
      </c>
    </row>
    <row r="119" spans="1:2" x14ac:dyDescent="0.25">
      <c r="A119" t="s">
        <v>332</v>
      </c>
      <c r="B119" t="s">
        <v>333</v>
      </c>
    </row>
    <row r="120" spans="1:2" x14ac:dyDescent="0.25">
      <c r="A120" t="s">
        <v>334</v>
      </c>
      <c r="B120" t="s">
        <v>335</v>
      </c>
    </row>
    <row r="121" spans="1:2" x14ac:dyDescent="0.25">
      <c r="A121" t="s">
        <v>336</v>
      </c>
      <c r="B121" t="s">
        <v>337</v>
      </c>
    </row>
    <row r="122" spans="1:2" x14ac:dyDescent="0.25">
      <c r="A122" t="s">
        <v>338</v>
      </c>
      <c r="B122" t="s">
        <v>339</v>
      </c>
    </row>
    <row r="123" spans="1:2" x14ac:dyDescent="0.25">
      <c r="A123" t="s">
        <v>340</v>
      </c>
      <c r="B123" t="s">
        <v>341</v>
      </c>
    </row>
    <row r="124" spans="1:2" x14ac:dyDescent="0.25">
      <c r="A124" t="s">
        <v>342</v>
      </c>
      <c r="B124" t="s">
        <v>343</v>
      </c>
    </row>
    <row r="125" spans="1:2" x14ac:dyDescent="0.25">
      <c r="A125" t="s">
        <v>344</v>
      </c>
      <c r="B125" t="s">
        <v>345</v>
      </c>
    </row>
    <row r="126" spans="1:2" x14ac:dyDescent="0.25">
      <c r="A126" t="s">
        <v>346</v>
      </c>
      <c r="B126" t="s">
        <v>347</v>
      </c>
    </row>
    <row r="127" spans="1:2" x14ac:dyDescent="0.25">
      <c r="A127" t="s">
        <v>348</v>
      </c>
      <c r="B127" t="s">
        <v>349</v>
      </c>
    </row>
    <row r="128" spans="1:2" x14ac:dyDescent="0.25">
      <c r="A128" t="s">
        <v>350</v>
      </c>
      <c r="B128" t="s">
        <v>351</v>
      </c>
    </row>
    <row r="129" spans="1:2" x14ac:dyDescent="0.25">
      <c r="A129" t="s">
        <v>352</v>
      </c>
      <c r="B129" t="s">
        <v>353</v>
      </c>
    </row>
    <row r="130" spans="1:2" x14ac:dyDescent="0.25">
      <c r="A130" t="s">
        <v>354</v>
      </c>
      <c r="B130" t="s">
        <v>355</v>
      </c>
    </row>
    <row r="131" spans="1:2" x14ac:dyDescent="0.25">
      <c r="A131" t="s">
        <v>356</v>
      </c>
      <c r="B131" t="s">
        <v>357</v>
      </c>
    </row>
    <row r="132" spans="1:2" x14ac:dyDescent="0.25">
      <c r="A132" t="s">
        <v>358</v>
      </c>
      <c r="B132" t="s">
        <v>359</v>
      </c>
    </row>
    <row r="133" spans="1:2" x14ac:dyDescent="0.25">
      <c r="A133" t="s">
        <v>360</v>
      </c>
      <c r="B133" t="s">
        <v>361</v>
      </c>
    </row>
    <row r="134" spans="1:2" x14ac:dyDescent="0.25">
      <c r="A134" t="s">
        <v>362</v>
      </c>
      <c r="B134" t="s">
        <v>363</v>
      </c>
    </row>
    <row r="135" spans="1:2" x14ac:dyDescent="0.25">
      <c r="A135" t="s">
        <v>364</v>
      </c>
      <c r="B135" t="s">
        <v>365</v>
      </c>
    </row>
    <row r="136" spans="1:2" x14ac:dyDescent="0.25">
      <c r="A136" t="s">
        <v>366</v>
      </c>
      <c r="B136" t="s">
        <v>367</v>
      </c>
    </row>
    <row r="137" spans="1:2" x14ac:dyDescent="0.25">
      <c r="A137" t="s">
        <v>368</v>
      </c>
      <c r="B137" t="s">
        <v>369</v>
      </c>
    </row>
    <row r="138" spans="1:2" x14ac:dyDescent="0.25">
      <c r="A138" t="s">
        <v>370</v>
      </c>
      <c r="B138" t="s">
        <v>371</v>
      </c>
    </row>
    <row r="139" spans="1:2" x14ac:dyDescent="0.25">
      <c r="A139" t="s">
        <v>372</v>
      </c>
      <c r="B139" t="s">
        <v>373</v>
      </c>
    </row>
    <row r="140" spans="1:2" x14ac:dyDescent="0.25">
      <c r="A140" t="s">
        <v>374</v>
      </c>
      <c r="B140" t="s">
        <v>375</v>
      </c>
    </row>
    <row r="141" spans="1:2" x14ac:dyDescent="0.25">
      <c r="A141" t="s">
        <v>376</v>
      </c>
      <c r="B141" t="s">
        <v>377</v>
      </c>
    </row>
    <row r="142" spans="1:2" x14ac:dyDescent="0.25">
      <c r="A142" t="s">
        <v>378</v>
      </c>
      <c r="B142" t="s">
        <v>379</v>
      </c>
    </row>
    <row r="143" spans="1:2" x14ac:dyDescent="0.25">
      <c r="A143" t="s">
        <v>380</v>
      </c>
      <c r="B143" t="s">
        <v>381</v>
      </c>
    </row>
    <row r="144" spans="1:2" x14ac:dyDescent="0.25">
      <c r="A144" t="s">
        <v>382</v>
      </c>
      <c r="B144" t="s">
        <v>383</v>
      </c>
    </row>
    <row r="145" spans="1:2" x14ac:dyDescent="0.25">
      <c r="A145" t="s">
        <v>384</v>
      </c>
      <c r="B145" t="s">
        <v>385</v>
      </c>
    </row>
    <row r="146" spans="1:2" x14ac:dyDescent="0.25">
      <c r="A146" t="s">
        <v>386</v>
      </c>
      <c r="B146" t="s">
        <v>387</v>
      </c>
    </row>
    <row r="147" spans="1:2" x14ac:dyDescent="0.25">
      <c r="A147" t="s">
        <v>388</v>
      </c>
      <c r="B147" t="s">
        <v>389</v>
      </c>
    </row>
    <row r="148" spans="1:2" x14ac:dyDescent="0.25">
      <c r="A148" t="s">
        <v>390</v>
      </c>
      <c r="B148" t="s">
        <v>391</v>
      </c>
    </row>
    <row r="149" spans="1:2" x14ac:dyDescent="0.25">
      <c r="A149" t="s">
        <v>392</v>
      </c>
      <c r="B149" t="s">
        <v>393</v>
      </c>
    </row>
    <row r="150" spans="1:2" x14ac:dyDescent="0.25">
      <c r="A150" t="s">
        <v>394</v>
      </c>
      <c r="B150" t="s">
        <v>395</v>
      </c>
    </row>
    <row r="151" spans="1:2" x14ac:dyDescent="0.25">
      <c r="A151" t="s">
        <v>396</v>
      </c>
      <c r="B151" t="s">
        <v>397</v>
      </c>
    </row>
    <row r="152" spans="1:2" x14ac:dyDescent="0.25">
      <c r="A152" t="s">
        <v>398</v>
      </c>
      <c r="B152" t="s">
        <v>399</v>
      </c>
    </row>
    <row r="153" spans="1:2" x14ac:dyDescent="0.25">
      <c r="A153" t="s">
        <v>400</v>
      </c>
      <c r="B153" t="s">
        <v>401</v>
      </c>
    </row>
    <row r="154" spans="1:2" x14ac:dyDescent="0.25">
      <c r="A154" t="s">
        <v>402</v>
      </c>
      <c r="B154" t="s">
        <v>403</v>
      </c>
    </row>
    <row r="155" spans="1:2" x14ac:dyDescent="0.25">
      <c r="A155" t="s">
        <v>404</v>
      </c>
      <c r="B155" t="s">
        <v>405</v>
      </c>
    </row>
    <row r="156" spans="1:2" x14ac:dyDescent="0.25">
      <c r="A156" t="s">
        <v>406</v>
      </c>
      <c r="B156" t="s">
        <v>407</v>
      </c>
    </row>
    <row r="157" spans="1:2" x14ac:dyDescent="0.25">
      <c r="A157" t="s">
        <v>408</v>
      </c>
      <c r="B157" t="s">
        <v>409</v>
      </c>
    </row>
    <row r="158" spans="1:2" x14ac:dyDescent="0.25">
      <c r="A158" t="s">
        <v>410</v>
      </c>
      <c r="B158" t="s">
        <v>411</v>
      </c>
    </row>
    <row r="159" spans="1:2" x14ac:dyDescent="0.25">
      <c r="A159" t="s">
        <v>412</v>
      </c>
      <c r="B159" t="s">
        <v>413</v>
      </c>
    </row>
    <row r="160" spans="1:2" x14ac:dyDescent="0.25">
      <c r="A160" t="s">
        <v>414</v>
      </c>
      <c r="B160" t="s">
        <v>415</v>
      </c>
    </row>
    <row r="161" spans="1:2" x14ac:dyDescent="0.25">
      <c r="A161" t="s">
        <v>416</v>
      </c>
      <c r="B161" t="s">
        <v>417</v>
      </c>
    </row>
    <row r="162" spans="1:2" x14ac:dyDescent="0.25">
      <c r="A162" t="s">
        <v>418</v>
      </c>
      <c r="B162" t="s">
        <v>419</v>
      </c>
    </row>
    <row r="163" spans="1:2" x14ac:dyDescent="0.25">
      <c r="A163" t="s">
        <v>420</v>
      </c>
      <c r="B163" t="s">
        <v>421</v>
      </c>
    </row>
    <row r="164" spans="1:2" x14ac:dyDescent="0.25">
      <c r="A164" t="s">
        <v>422</v>
      </c>
      <c r="B164" t="s">
        <v>423</v>
      </c>
    </row>
    <row r="165" spans="1:2" x14ac:dyDescent="0.25">
      <c r="A165" t="s">
        <v>424</v>
      </c>
      <c r="B165" t="s">
        <v>425</v>
      </c>
    </row>
    <row r="166" spans="1:2" x14ac:dyDescent="0.25">
      <c r="A166" t="s">
        <v>426</v>
      </c>
      <c r="B166" t="s">
        <v>427</v>
      </c>
    </row>
    <row r="167" spans="1:2" x14ac:dyDescent="0.25">
      <c r="A167" t="s">
        <v>428</v>
      </c>
      <c r="B167" t="s">
        <v>429</v>
      </c>
    </row>
    <row r="168" spans="1:2" x14ac:dyDescent="0.25">
      <c r="A168" t="s">
        <v>430</v>
      </c>
      <c r="B168" t="s">
        <v>431</v>
      </c>
    </row>
    <row r="169" spans="1:2" x14ac:dyDescent="0.25">
      <c r="A169" t="s">
        <v>432</v>
      </c>
      <c r="B169" t="s">
        <v>433</v>
      </c>
    </row>
    <row r="170" spans="1:2" x14ac:dyDescent="0.25">
      <c r="A170" t="s">
        <v>434</v>
      </c>
      <c r="B170" t="s">
        <v>435</v>
      </c>
    </row>
    <row r="171" spans="1:2" x14ac:dyDescent="0.25">
      <c r="A171" t="s">
        <v>436</v>
      </c>
      <c r="B171" t="s">
        <v>437</v>
      </c>
    </row>
    <row r="172" spans="1:2" x14ac:dyDescent="0.25">
      <c r="A172" t="s">
        <v>438</v>
      </c>
      <c r="B172" t="s">
        <v>439</v>
      </c>
    </row>
    <row r="173" spans="1:2" x14ac:dyDescent="0.25">
      <c r="A173" t="s">
        <v>440</v>
      </c>
      <c r="B173" t="s">
        <v>441</v>
      </c>
    </row>
    <row r="174" spans="1:2" x14ac:dyDescent="0.25">
      <c r="A174" t="s">
        <v>442</v>
      </c>
      <c r="B174" t="s">
        <v>443</v>
      </c>
    </row>
    <row r="175" spans="1:2" x14ac:dyDescent="0.25">
      <c r="A175" t="s">
        <v>444</v>
      </c>
      <c r="B175" t="s">
        <v>445</v>
      </c>
    </row>
    <row r="176" spans="1:2" x14ac:dyDescent="0.25">
      <c r="A176" t="s">
        <v>446</v>
      </c>
      <c r="B176" t="s">
        <v>447</v>
      </c>
    </row>
    <row r="177" spans="1:2" x14ac:dyDescent="0.25">
      <c r="A177" t="s">
        <v>448</v>
      </c>
      <c r="B177" t="s">
        <v>449</v>
      </c>
    </row>
    <row r="178" spans="1:2" x14ac:dyDescent="0.25">
      <c r="A178" t="s">
        <v>450</v>
      </c>
      <c r="B178" t="s">
        <v>451</v>
      </c>
    </row>
    <row r="179" spans="1:2" x14ac:dyDescent="0.25">
      <c r="A179" t="s">
        <v>452</v>
      </c>
      <c r="B179" t="s">
        <v>453</v>
      </c>
    </row>
    <row r="180" spans="1:2" x14ac:dyDescent="0.25">
      <c r="A180" t="s">
        <v>454</v>
      </c>
      <c r="B180" t="s">
        <v>455</v>
      </c>
    </row>
    <row r="181" spans="1:2" x14ac:dyDescent="0.25">
      <c r="A181" t="s">
        <v>456</v>
      </c>
      <c r="B181" t="s">
        <v>457</v>
      </c>
    </row>
    <row r="182" spans="1:2" x14ac:dyDescent="0.25">
      <c r="A182" t="s">
        <v>458</v>
      </c>
      <c r="B182" t="s">
        <v>459</v>
      </c>
    </row>
    <row r="183" spans="1:2" x14ac:dyDescent="0.25">
      <c r="A183" t="s">
        <v>460</v>
      </c>
      <c r="B183" t="s">
        <v>461</v>
      </c>
    </row>
    <row r="184" spans="1:2" x14ac:dyDescent="0.25">
      <c r="A184" t="s">
        <v>462</v>
      </c>
      <c r="B184" t="s">
        <v>463</v>
      </c>
    </row>
    <row r="185" spans="1:2" x14ac:dyDescent="0.25">
      <c r="A185" t="s">
        <v>464</v>
      </c>
      <c r="B185" t="s">
        <v>465</v>
      </c>
    </row>
    <row r="186" spans="1:2" x14ac:dyDescent="0.25">
      <c r="A186" t="s">
        <v>466</v>
      </c>
      <c r="B186" t="s">
        <v>467</v>
      </c>
    </row>
    <row r="187" spans="1:2" x14ac:dyDescent="0.25">
      <c r="A187" t="s">
        <v>468</v>
      </c>
      <c r="B187" t="s">
        <v>469</v>
      </c>
    </row>
    <row r="188" spans="1:2" x14ac:dyDescent="0.25">
      <c r="A188" t="s">
        <v>470</v>
      </c>
      <c r="B188" t="s">
        <v>471</v>
      </c>
    </row>
    <row r="189" spans="1:2" x14ac:dyDescent="0.25">
      <c r="A189" t="s">
        <v>472</v>
      </c>
      <c r="B189" t="s">
        <v>473</v>
      </c>
    </row>
    <row r="190" spans="1:2" x14ac:dyDescent="0.25">
      <c r="A190" t="s">
        <v>474</v>
      </c>
      <c r="B190" t="s">
        <v>475</v>
      </c>
    </row>
    <row r="191" spans="1:2" x14ac:dyDescent="0.25">
      <c r="A191" t="s">
        <v>476</v>
      </c>
      <c r="B191" t="s">
        <v>477</v>
      </c>
    </row>
    <row r="192" spans="1:2" x14ac:dyDescent="0.25">
      <c r="A192" t="s">
        <v>478</v>
      </c>
      <c r="B192" t="s">
        <v>479</v>
      </c>
    </row>
    <row r="193" spans="1:2" x14ac:dyDescent="0.25">
      <c r="A193" t="s">
        <v>480</v>
      </c>
      <c r="B193" t="s">
        <v>481</v>
      </c>
    </row>
    <row r="194" spans="1:2" x14ac:dyDescent="0.25">
      <c r="A194" t="s">
        <v>482</v>
      </c>
      <c r="B194" t="s">
        <v>483</v>
      </c>
    </row>
    <row r="195" spans="1:2" x14ac:dyDescent="0.25">
      <c r="A195" t="s">
        <v>484</v>
      </c>
      <c r="B195" t="s">
        <v>485</v>
      </c>
    </row>
    <row r="196" spans="1:2" x14ac:dyDescent="0.25">
      <c r="A196" t="s">
        <v>486</v>
      </c>
      <c r="B196" t="s">
        <v>487</v>
      </c>
    </row>
    <row r="197" spans="1:2" x14ac:dyDescent="0.25">
      <c r="A197" t="s">
        <v>488</v>
      </c>
      <c r="B197" t="s">
        <v>489</v>
      </c>
    </row>
    <row r="198" spans="1:2" x14ac:dyDescent="0.25">
      <c r="A198" t="s">
        <v>490</v>
      </c>
      <c r="B198" t="s">
        <v>491</v>
      </c>
    </row>
    <row r="199" spans="1:2" x14ac:dyDescent="0.25">
      <c r="A199" t="s">
        <v>492</v>
      </c>
      <c r="B199" t="s">
        <v>493</v>
      </c>
    </row>
    <row r="200" spans="1:2" x14ac:dyDescent="0.25">
      <c r="A200" t="s">
        <v>494</v>
      </c>
      <c r="B200" t="s">
        <v>495</v>
      </c>
    </row>
    <row r="201" spans="1:2" x14ac:dyDescent="0.25">
      <c r="A201" t="s">
        <v>496</v>
      </c>
      <c r="B201" t="s">
        <v>497</v>
      </c>
    </row>
    <row r="202" spans="1:2" x14ac:dyDescent="0.25">
      <c r="A202" t="s">
        <v>498</v>
      </c>
      <c r="B202" t="s">
        <v>499</v>
      </c>
    </row>
    <row r="203" spans="1:2" x14ac:dyDescent="0.25">
      <c r="A203" t="s">
        <v>500</v>
      </c>
      <c r="B203" t="s">
        <v>501</v>
      </c>
    </row>
    <row r="204" spans="1:2" x14ac:dyDescent="0.25">
      <c r="A204" t="s">
        <v>502</v>
      </c>
      <c r="B204" t="s">
        <v>503</v>
      </c>
    </row>
    <row r="205" spans="1:2" x14ac:dyDescent="0.25">
      <c r="A205" t="s">
        <v>504</v>
      </c>
      <c r="B205" t="s">
        <v>505</v>
      </c>
    </row>
    <row r="206" spans="1:2" x14ac:dyDescent="0.25">
      <c r="A206" t="s">
        <v>506</v>
      </c>
      <c r="B206" t="s">
        <v>507</v>
      </c>
    </row>
    <row r="207" spans="1:2" x14ac:dyDescent="0.25">
      <c r="A207" t="s">
        <v>508</v>
      </c>
      <c r="B207" t="s">
        <v>509</v>
      </c>
    </row>
    <row r="208" spans="1:2" x14ac:dyDescent="0.25">
      <c r="A208" t="s">
        <v>510</v>
      </c>
      <c r="B208" t="s">
        <v>511</v>
      </c>
    </row>
    <row r="209" spans="1:2" x14ac:dyDescent="0.25">
      <c r="A209" t="s">
        <v>512</v>
      </c>
      <c r="B209" t="s">
        <v>513</v>
      </c>
    </row>
    <row r="210" spans="1:2" x14ac:dyDescent="0.25">
      <c r="A210" t="s">
        <v>514</v>
      </c>
      <c r="B210" t="s">
        <v>515</v>
      </c>
    </row>
    <row r="211" spans="1:2" x14ac:dyDescent="0.25">
      <c r="A211" t="s">
        <v>516</v>
      </c>
      <c r="B211" t="s">
        <v>517</v>
      </c>
    </row>
    <row r="212" spans="1:2" x14ac:dyDescent="0.25">
      <c r="A212" t="s">
        <v>518</v>
      </c>
      <c r="B212" t="s">
        <v>519</v>
      </c>
    </row>
    <row r="213" spans="1:2" x14ac:dyDescent="0.25">
      <c r="A213" t="s">
        <v>520</v>
      </c>
      <c r="B213" t="s">
        <v>521</v>
      </c>
    </row>
    <row r="214" spans="1:2" x14ac:dyDescent="0.25">
      <c r="A214" t="s">
        <v>522</v>
      </c>
      <c r="B214" t="s">
        <v>523</v>
      </c>
    </row>
    <row r="215" spans="1:2" x14ac:dyDescent="0.25">
      <c r="A215" t="s">
        <v>524</v>
      </c>
      <c r="B215" t="s">
        <v>525</v>
      </c>
    </row>
    <row r="216" spans="1:2" x14ac:dyDescent="0.25">
      <c r="A216" t="s">
        <v>526</v>
      </c>
      <c r="B216" t="s">
        <v>527</v>
      </c>
    </row>
    <row r="217" spans="1:2" x14ac:dyDescent="0.25">
      <c r="A217" t="s">
        <v>528</v>
      </c>
      <c r="B217" t="s">
        <v>529</v>
      </c>
    </row>
    <row r="218" spans="1:2" x14ac:dyDescent="0.25">
      <c r="A218" t="s">
        <v>530</v>
      </c>
      <c r="B218" t="s">
        <v>531</v>
      </c>
    </row>
    <row r="219" spans="1:2" x14ac:dyDescent="0.25">
      <c r="A219" t="s">
        <v>532</v>
      </c>
      <c r="B219" t="s">
        <v>533</v>
      </c>
    </row>
    <row r="220" spans="1:2" x14ac:dyDescent="0.25">
      <c r="A220" t="s">
        <v>534</v>
      </c>
      <c r="B220" t="s">
        <v>535</v>
      </c>
    </row>
    <row r="221" spans="1:2" x14ac:dyDescent="0.25">
      <c r="A221" t="s">
        <v>536</v>
      </c>
      <c r="B221" t="s">
        <v>537</v>
      </c>
    </row>
    <row r="222" spans="1:2" x14ac:dyDescent="0.25">
      <c r="A222" t="s">
        <v>538</v>
      </c>
      <c r="B222" t="s">
        <v>539</v>
      </c>
    </row>
    <row r="223" spans="1:2" x14ac:dyDescent="0.25">
      <c r="A223" t="s">
        <v>540</v>
      </c>
      <c r="B223" t="s">
        <v>541</v>
      </c>
    </row>
    <row r="224" spans="1:2" x14ac:dyDescent="0.25">
      <c r="A224" t="s">
        <v>542</v>
      </c>
      <c r="B224" t="s">
        <v>543</v>
      </c>
    </row>
    <row r="225" spans="1:2" x14ac:dyDescent="0.25">
      <c r="A225" t="s">
        <v>544</v>
      </c>
      <c r="B225" t="s">
        <v>545</v>
      </c>
    </row>
    <row r="226" spans="1:2" x14ac:dyDescent="0.25">
      <c r="A226" t="s">
        <v>546</v>
      </c>
      <c r="B226" t="s">
        <v>547</v>
      </c>
    </row>
    <row r="227" spans="1:2" x14ac:dyDescent="0.25">
      <c r="A227" t="s">
        <v>548</v>
      </c>
      <c r="B227" t="s">
        <v>549</v>
      </c>
    </row>
    <row r="228" spans="1:2" x14ac:dyDescent="0.25">
      <c r="A228" t="s">
        <v>550</v>
      </c>
      <c r="B228" t="s">
        <v>551</v>
      </c>
    </row>
    <row r="229" spans="1:2" x14ac:dyDescent="0.25">
      <c r="A229" t="s">
        <v>552</v>
      </c>
      <c r="B229" t="s">
        <v>553</v>
      </c>
    </row>
    <row r="230" spans="1:2" x14ac:dyDescent="0.25">
      <c r="A230" t="s">
        <v>554</v>
      </c>
      <c r="B230" t="s">
        <v>555</v>
      </c>
    </row>
    <row r="231" spans="1:2" x14ac:dyDescent="0.25">
      <c r="A231" t="s">
        <v>556</v>
      </c>
      <c r="B231" t="s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Inputs</vt:lpstr>
      <vt:lpstr>Consumo_24m</vt:lpstr>
      <vt:lpstr>Cargas_24</vt:lpstr>
      <vt:lpstr>Calculos</vt:lpstr>
      <vt:lpstr>Mapeamento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</cp:lastModifiedBy>
  <dcterms:created xsi:type="dcterms:W3CDTF">2025-12-15T01:10:13Z</dcterms:created>
  <dcterms:modified xsi:type="dcterms:W3CDTF">2025-12-15T01:15:36Z</dcterms:modified>
</cp:coreProperties>
</file>